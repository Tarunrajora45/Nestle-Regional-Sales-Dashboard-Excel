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bcf1f01a06b25006/Desktop/"/>
    </mc:Choice>
  </mc:AlternateContent>
  <xr:revisionPtr revIDLastSave="562" documentId="13_ncr:1_{D31BB4CA-5B3F-41A9-9B57-726B279269EA}" xr6:coauthVersionLast="47" xr6:coauthVersionMax="47" xr10:uidLastSave="{8770D28C-A0FF-4113-99A1-C2ED437AF393}"/>
  <bookViews>
    <workbookView xWindow="-108" yWindow="-108" windowWidth="23256" windowHeight="12456" xr2:uid="{DCD82DC3-6CB4-45CA-852F-913D8F7311C8}"/>
  </bookViews>
  <sheets>
    <sheet name="Dashboard" sheetId="3" r:id="rId1"/>
    <sheet name="Calculative Fields" sheetId="2" r:id="rId2"/>
    <sheet name="sales_dataset" sheetId="1" r:id="rId3"/>
  </sheets>
  <definedNames>
    <definedName name="_xlchart.v2.0" hidden="1">'Calculative Fields'!$F$22:$F$31</definedName>
    <definedName name="_xlchart.v2.1" hidden="1">'Calculative Fields'!$G$22:$G$31</definedName>
    <definedName name="_xlchart.v5.2" hidden="1">'Calculative Fields'!$F$2</definedName>
    <definedName name="_xlchart.v5.3" hidden="1">'Calculative Fields'!$F$3:$F$17</definedName>
    <definedName name="_xlchart.v5.4" hidden="1">'Calculative Fields'!$G$2</definedName>
    <definedName name="_xlchart.v5.5" hidden="1">'Calculative Fields'!$G$3:$G$17</definedName>
    <definedName name="Avg_Sp">'Calculative Fields'!$C$9</definedName>
    <definedName name="Profit">'Calculative Fields'!$C$6</definedName>
    <definedName name="Sales">'Calculative Fields'!$C$3</definedName>
    <definedName name="Slicer_Months__Date">#N/A</definedName>
    <definedName name="Slicer_State">#N/A</definedName>
    <definedName name="Slicer_Years_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alcChain>
</file>

<file path=xl/sharedStrings.xml><?xml version="1.0" encoding="utf-8"?>
<sst xmlns="http://schemas.openxmlformats.org/spreadsheetml/2006/main" count="4066" uniqueCount="97">
  <si>
    <t>Date</t>
  </si>
  <si>
    <t>Product</t>
  </si>
  <si>
    <t>Units</t>
  </si>
  <si>
    <t>Price</t>
  </si>
  <si>
    <t>Total Sale</t>
  </si>
  <si>
    <t>State</t>
  </si>
  <si>
    <t>Nestle Rolo Potz</t>
  </si>
  <si>
    <t>Delhi</t>
  </si>
  <si>
    <t>Himachal Pradesh</t>
  </si>
  <si>
    <t>Karnataka</t>
  </si>
  <si>
    <t>Nestle Milky Bar Stick</t>
  </si>
  <si>
    <t>Nestle Maxibon Cookie</t>
  </si>
  <si>
    <t>West Bengal</t>
  </si>
  <si>
    <t>Nestle Nobby Bobby</t>
  </si>
  <si>
    <t>Uttarakhand</t>
  </si>
  <si>
    <t>Rajasthan</t>
  </si>
  <si>
    <t>Nestle Smarties Pop-Up</t>
  </si>
  <si>
    <t>Maharashtra</t>
  </si>
  <si>
    <t>Nestle Rowntree Fruit Pastil</t>
  </si>
  <si>
    <t>Uttar Pradesh</t>
  </si>
  <si>
    <t>Telangana</t>
  </si>
  <si>
    <t>Goa</t>
  </si>
  <si>
    <t>Kerala</t>
  </si>
  <si>
    <t>Jharkhand</t>
  </si>
  <si>
    <t>Jammu and Kashmir</t>
  </si>
  <si>
    <t>Nestle Fab</t>
  </si>
  <si>
    <t>Nestle Kit Kat Cone</t>
  </si>
  <si>
    <t>Nestle Aero Mint Potz</t>
  </si>
  <si>
    <t>Gujarat</t>
  </si>
  <si>
    <t>Nestle Toffee Crumble</t>
  </si>
  <si>
    <t>Customers Names</t>
  </si>
  <si>
    <t>Anand Bakshi</t>
  </si>
  <si>
    <t>Geeta Bali</t>
  </si>
  <si>
    <t>Preeti Saini</t>
  </si>
  <si>
    <t>Varun Kapoor</t>
  </si>
  <si>
    <t>Shweta Bhatia</t>
  </si>
  <si>
    <t>Vishal Saxena</t>
  </si>
  <si>
    <t>Vivek Bansal</t>
  </si>
  <si>
    <t>Sandeep Kaur</t>
  </si>
  <si>
    <t>Swati Pandey</t>
  </si>
  <si>
    <t>Praveen Shetty</t>
  </si>
  <si>
    <t>Harsh Goel</t>
  </si>
  <si>
    <t>Alok Joshi</t>
  </si>
  <si>
    <t>Kiran Rao</t>
  </si>
  <si>
    <t>Rakesh Yadav</t>
  </si>
  <si>
    <t>Manish Agarwal</t>
  </si>
  <si>
    <t>Nithin Rao</t>
  </si>
  <si>
    <t>Suresh Menon</t>
  </si>
  <si>
    <t>Rohan Chatterjee</t>
  </si>
  <si>
    <t>Tarun Jain</t>
  </si>
  <si>
    <t>Divya Khurana</t>
  </si>
  <si>
    <t>Rahul Singh</t>
  </si>
  <si>
    <t>Ravi Pillai</t>
  </si>
  <si>
    <t>Pooja Iyer</t>
  </si>
  <si>
    <t>Sneha Gupta</t>
  </si>
  <si>
    <t>Amit Sharma</t>
  </si>
  <si>
    <t>Rajesh Kumar</t>
  </si>
  <si>
    <t>Meera Kulkarni</t>
  </si>
  <si>
    <t>Aditya Mishra</t>
  </si>
  <si>
    <t>Priya Patel</t>
  </si>
  <si>
    <t>Anjali Verma</t>
  </si>
  <si>
    <t>Sanjay Mehta</t>
  </si>
  <si>
    <t>Kavita Joshi</t>
  </si>
  <si>
    <t>Deepak Chopra</t>
  </si>
  <si>
    <t>Neha Desai</t>
  </si>
  <si>
    <t>Riya Nair</t>
  </si>
  <si>
    <t>Arjun Malhotra</t>
  </si>
  <si>
    <t>Manoj Tiwari</t>
  </si>
  <si>
    <t>Sonal Saxena</t>
  </si>
  <si>
    <t>Karthik Gowda</t>
  </si>
  <si>
    <t>Vikram Reddy</t>
  </si>
  <si>
    <t>Sum of Total Sale</t>
  </si>
  <si>
    <t>Total Sales</t>
  </si>
  <si>
    <t>Profit</t>
  </si>
  <si>
    <t>Total Profit</t>
  </si>
  <si>
    <t>Grand Total</t>
  </si>
  <si>
    <t>States</t>
  </si>
  <si>
    <t>2024</t>
  </si>
  <si>
    <t>2025</t>
  </si>
  <si>
    <t>Jan</t>
  </si>
  <si>
    <t>Feb</t>
  </si>
  <si>
    <t>Mar</t>
  </si>
  <si>
    <t>Apr</t>
  </si>
  <si>
    <t>May</t>
  </si>
  <si>
    <t>Jun</t>
  </si>
  <si>
    <t>Jul</t>
  </si>
  <si>
    <t>Aug</t>
  </si>
  <si>
    <t>Sep</t>
  </si>
  <si>
    <t>Oct</t>
  </si>
  <si>
    <t>Nov</t>
  </si>
  <si>
    <t>Dec</t>
  </si>
  <si>
    <t>Months</t>
  </si>
  <si>
    <t>Avg Selling Price</t>
  </si>
  <si>
    <t>Product Category</t>
  </si>
  <si>
    <t>Salespersons</t>
  </si>
  <si>
    <t>Column Labels</t>
  </si>
  <si>
    <t># 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</si>
</sst>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5" formatCode="_ &quot;₹&quot;\ * #,##0_ ;_ &quot;₹&quot;\ * \-#,##0_ ;_ &quot;₹&quot;\ * &quot;-&quot;??_ ;_ @_ "/>
    <numFmt numFmtId="170" formatCode="&quot;₹&quot;\ #.0,,&quot; Cr. &quot;"/>
    <numFmt numFmtId="172" formatCode="&quot;₹&quot;\ #\0.00,,&quot; L. &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center"/>
    </xf>
    <xf numFmtId="0" fontId="16"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0" borderId="0" xfId="0" pivotButton="1"/>
    <xf numFmtId="165" fontId="0" fillId="0" borderId="0" xfId="0" applyNumberFormat="1"/>
    <xf numFmtId="0" fontId="0" fillId="33" borderId="0" xfId="0" applyFill="1" applyAlignment="1">
      <alignment horizontal="center"/>
    </xf>
    <xf numFmtId="0" fontId="16" fillId="34" borderId="10" xfId="0" applyFont="1" applyFill="1" applyBorder="1"/>
    <xf numFmtId="170" fontId="0" fillId="0" borderId="0" xfId="0" applyNumberFormat="1"/>
    <xf numFmtId="172" fontId="0" fillId="0" borderId="0" xfId="0" applyNumberFormat="1"/>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72" formatCode="&quot;₹&quot;\ #\0.00,,&quot; L. &quot;"/>
    </dxf>
    <dxf>
      <numFmt numFmtId="170" formatCode="&quot;₹&quot;\ #.0,,&quot; Cr. &quot;"/>
    </dxf>
    <dxf>
      <numFmt numFmtId="165" formatCode="_ &quot;₹&quot;\ * #,##0_ ;_ &quot;₹&quot;\ * \-#,##0_ ;_ &quot;₹&quot;\ * &quot;-&quot;??_ ;_ @_ "/>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6" formatCode="m/d/yyyy"/>
      <alignment horizontal="left" vertical="bottom" textRotation="0" wrapText="0" indent="0" justifyLastLine="0" shrinkToFit="0" readingOrder="0"/>
    </dxf>
    <dxf>
      <numFmt numFmtId="166" formatCode="m/d/yyyy"/>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alignment horizontal="cent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color theme="1"/>
      </font>
      <fill>
        <patternFill>
          <bgColor theme="3" tint="9.9948118533890809E-2"/>
        </patternFill>
      </fill>
      <border diagonalUp="0" diagonalDown="0">
        <left/>
        <right/>
        <top/>
        <bottom/>
        <vertical/>
        <horizontal/>
      </border>
    </dxf>
  </dxfs>
  <tableStyles count="2" defaultTableStyle="TableStyleMedium2" defaultPivotStyle="PivotStyleLight16">
    <tableStyle name="SlicerStyleLight1 2" pivot="0" table="0" count="10" xr9:uid="{5D0DFCEC-6B29-4704-B831-1AA96C81F9A6}">
      <tableStyleElement type="wholeTable" dxfId="23"/>
      <tableStyleElement type="headerRow" dxfId="22"/>
    </tableStyle>
    <tableStyle name="SlicerStyleLight1 3" pivot="0" table="0" count="10" xr9:uid="{586EE766-96A6-47C3-A4C6-28EE46E80004}">
      <tableStyleElement type="wholeTable" dxfId="21"/>
      <tableStyleElement type="headerRow" dxfId="2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 Sales Dashboard.xlsx]Calculative Fields!Salesperson Pivot Table</c:name>
    <c:fmtId val="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750219144578"/>
          <c:y val="0.21319970727519649"/>
          <c:w val="0.74374202610925677"/>
          <c:h val="0.66882023460204199"/>
        </c:manualLayout>
      </c:layout>
      <c:barChart>
        <c:barDir val="bar"/>
        <c:grouping val="clustered"/>
        <c:varyColors val="0"/>
        <c:ser>
          <c:idx val="0"/>
          <c:order val="0"/>
          <c:tx>
            <c:strRef>
              <c:f>'Calculative Fields'!$N$2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'Calculative Fields'!$M$3:$M$7</c:f>
              <c:strCache>
                <c:ptCount val="5"/>
                <c:pt idx="0">
                  <c:v>Vishal Saxena</c:v>
                </c:pt>
                <c:pt idx="1">
                  <c:v>Manish Agarwal</c:v>
                </c:pt>
                <c:pt idx="2">
                  <c:v>Rakesh Yadav</c:v>
                </c:pt>
                <c:pt idx="3">
                  <c:v>Swati Pandey</c:v>
                </c:pt>
                <c:pt idx="4">
                  <c:v>Shweta Bhatia</c:v>
                </c:pt>
              </c:strCache>
            </c:strRef>
          </c:cat>
          <c:val>
            <c:numRef>
              <c:f>'Calculative Fields'!$N$3:$N$7</c:f>
              <c:numCache>
                <c:formatCode>_ "₹"\ * #,##0_ ;_ "₹"\ * \-#,##0_ ;_ "₹"\ * "-"??_ ;_ @_ </c:formatCode>
                <c:ptCount val="5"/>
                <c:pt idx="0">
                  <c:v>671738</c:v>
                </c:pt>
                <c:pt idx="1">
                  <c:v>671613</c:v>
                </c:pt>
                <c:pt idx="2">
                  <c:v>596818</c:v>
                </c:pt>
                <c:pt idx="3">
                  <c:v>588818</c:v>
                </c:pt>
                <c:pt idx="4">
                  <c:v>584860</c:v>
                </c:pt>
              </c:numCache>
            </c:numRef>
          </c:val>
          <c:extLst>
            <c:ext xmlns:c16="http://schemas.microsoft.com/office/drawing/2014/chart" uri="{C3380CC4-5D6E-409C-BE32-E72D297353CC}">
              <c16:uniqueId val="{00000000-7707-4E21-BCFC-066EDA2238EF}"/>
            </c:ext>
          </c:extLst>
        </c:ser>
        <c:dLbls>
          <c:dLblPos val="inEnd"/>
          <c:showLegendKey val="0"/>
          <c:showVal val="1"/>
          <c:showCatName val="0"/>
          <c:showSerName val="0"/>
          <c:showPercent val="0"/>
          <c:showBubbleSize val="0"/>
        </c:dLbls>
        <c:gapWidth val="65"/>
        <c:axId val="607355151"/>
        <c:axId val="607349391"/>
      </c:barChart>
      <c:catAx>
        <c:axId val="6073551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7349391"/>
        <c:crosses val="autoZero"/>
        <c:auto val="1"/>
        <c:lblAlgn val="ctr"/>
        <c:lblOffset val="100"/>
        <c:noMultiLvlLbl val="0"/>
      </c:catAx>
      <c:valAx>
        <c:axId val="607349391"/>
        <c:scaling>
          <c:orientation val="minMax"/>
        </c:scaling>
        <c:delete val="1"/>
        <c:axPos val="b"/>
        <c:numFmt formatCode="_ &quot;₹&quot;\ * #,##0_ ;_ &quot;₹&quot;\ * \-#,##0_ ;_ &quot;₹&quot;\ * &quot;-&quot;??_ ;_ @_ " sourceLinked="1"/>
        <c:majorTickMark val="none"/>
        <c:minorTickMark val="none"/>
        <c:tickLblPos val="nextTo"/>
        <c:crossAx val="60735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[Regional Sales Dashboard.xlsx]Calculative Fields!Months Pivot Table</c:name>
    <c:fmtId val="28"/>
  </c:pivotSource>
  <c:chart>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12700" cap="flat" cmpd="sng" algn="ctr">
              <a:solidFill>
                <a:schemeClr val="tx2">
                  <a:lumMod val="90000"/>
                  <a:lumOff val="1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65000"/>
            </a:schemeClr>
          </a:solidFill>
          <a:ln w="22225" cap="rnd" cmpd="sng" algn="ctr">
            <a:solidFill>
              <a:schemeClr val="accent1"/>
            </a:solidFill>
            <a:round/>
          </a:ln>
          <a:effectLst/>
        </c:spPr>
        <c:marker>
          <c:symbol val="circle"/>
          <c:size val="5"/>
          <c:spPr>
            <a:solidFill>
              <a:schemeClr val="bg1"/>
            </a:solidFill>
            <a:ln w="12700" cap="flat" cmpd="sng" algn="ctr">
              <a:solidFill>
                <a:schemeClr val="tx2">
                  <a:lumMod val="90000"/>
                  <a:lumOff val="1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tint val="65000"/>
            </a:schemeClr>
          </a:solidFill>
          <a:ln w="22225" cap="rnd" cmpd="sng" algn="ctr">
            <a:solidFill>
              <a:schemeClr val="accent1"/>
            </a:solidFill>
            <a:round/>
          </a:ln>
          <a:effectLst/>
        </c:spPr>
        <c:marker>
          <c:symbol val="circle"/>
          <c:size val="5"/>
          <c:spPr>
            <a:solidFill>
              <a:schemeClr val="bg1"/>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5"/>
          <c:spPr>
            <a:solidFill>
              <a:schemeClr val="bg1"/>
            </a:solidFill>
            <a:ln w="12700" cap="flat" cmpd="sng" algn="ctr">
              <a:solidFill>
                <a:schemeClr val="tx2">
                  <a:lumMod val="90000"/>
                  <a:lumOff val="1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9227963323331"/>
          <c:y val="6.9210877915462821E-2"/>
          <c:w val="0.79472826081927517"/>
          <c:h val="0.67128647762953653"/>
        </c:manualLayout>
      </c:layout>
      <c:lineChart>
        <c:grouping val="standard"/>
        <c:varyColors val="0"/>
        <c:ser>
          <c:idx val="0"/>
          <c:order val="0"/>
          <c:tx>
            <c:strRef>
              <c:f>'Calculative Fields'!$J$2:$J$3</c:f>
              <c:strCache>
                <c:ptCount val="1"/>
                <c:pt idx="0">
                  <c:v>2024</c:v>
                </c:pt>
              </c:strCache>
            </c:strRef>
          </c:tx>
          <c:spPr>
            <a:ln w="22225" cap="rnd" cmpd="sng" algn="ctr">
              <a:solidFill>
                <a:schemeClr val="accent1"/>
              </a:solidFill>
              <a:round/>
            </a:ln>
            <a:effectLst/>
          </c:spPr>
          <c:marker>
            <c:symbol val="circle"/>
            <c:size val="5"/>
            <c:spPr>
              <a:solidFill>
                <a:schemeClr val="bg1"/>
              </a:solidFill>
              <a:ln w="12700" cap="flat" cmpd="sng" algn="ctr">
                <a:solidFill>
                  <a:schemeClr val="tx2">
                    <a:lumMod val="90000"/>
                    <a:lumOff val="10000"/>
                  </a:schemeClr>
                </a:solidFill>
                <a:round/>
              </a:ln>
              <a:effectLst/>
            </c:spPr>
          </c:marker>
          <c:cat>
            <c:strRef>
              <c:f>'Calculative Fields'!$I$4:$I$15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'Calculative Fields'!$J$4:$J$15</c:f>
              <c:numCache>
                <c:formatCode>_ "₹"\ * #,##0_ ;_ "₹"\ * \-#,##0_ ;_ "₹"\ * "-"??_ ;_ @_ </c:formatCode>
                <c:ptCount val="12"/>
                <c:pt idx="0">
                  <c:v>468431</c:v>
                </c:pt>
                <c:pt idx="1">
                  <c:v>416982</c:v>
                </c:pt>
                <c:pt idx="2">
                  <c:v>453964</c:v>
                </c:pt>
                <c:pt idx="3">
                  <c:v>622178</c:v>
                </c:pt>
                <c:pt idx="4">
                  <c:v>330120</c:v>
                </c:pt>
                <c:pt idx="5">
                  <c:v>393387</c:v>
                </c:pt>
                <c:pt idx="6">
                  <c:v>414876</c:v>
                </c:pt>
                <c:pt idx="7">
                  <c:v>494656</c:v>
                </c:pt>
                <c:pt idx="8">
                  <c:v>317773</c:v>
                </c:pt>
                <c:pt idx="9">
                  <c:v>428804</c:v>
                </c:pt>
                <c:pt idx="10">
                  <c:v>484686</c:v>
                </c:pt>
                <c:pt idx="11">
                  <c:v>334003</c:v>
                </c:pt>
              </c:numCache>
            </c:numRef>
          </c:val>
          <c:smooth val="0"/>
          <c:extLst>
            <c:ext xmlns:c16="http://schemas.microsoft.com/office/drawing/2014/chart" uri="{C3380CC4-5D6E-409C-BE32-E72D297353CC}">
              <c16:uniqueId val="{00000000-E172-4A45-A97A-E2E51B250A73}"/>
            </c:ext>
          </c:extLst>
        </c:ser>
        <c:ser>
          <c:idx val="1"/>
          <c:order val="1"/>
          <c:tx>
            <c:strRef>
              <c:f>'Calculative Fields'!$K$2:$K$3</c:f>
              <c:strCache>
                <c:ptCount val="1"/>
                <c:pt idx="0">
                  <c:v>2025</c:v>
                </c:pt>
              </c:strCache>
            </c:strRef>
          </c:tx>
          <c:spPr>
            <a:ln w="22225" cap="rnd" cmpd="sng" algn="ctr">
              <a:solidFill>
                <a:schemeClr val="accent2"/>
              </a:solidFill>
              <a:round/>
            </a:ln>
            <a:effectLst/>
          </c:spPr>
          <c:marker>
            <c:symbol val="circle"/>
            <c:size val="5"/>
            <c:spPr>
              <a:solidFill>
                <a:schemeClr val="bg1"/>
              </a:solidFill>
              <a:ln w="9525" cap="flat" cmpd="sng" algn="ctr">
                <a:solidFill>
                  <a:schemeClr val="accent2"/>
                </a:solidFill>
                <a:round/>
              </a:ln>
              <a:effectLst/>
            </c:spPr>
          </c:marker>
          <c:cat>
            <c:strRef>
              <c:f>'Calculative Fields'!$I$4:$I$15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'Calculative Fields'!$K$4:$K$15</c:f>
              <c:numCache>
                <c:formatCode>_ "₹"\ * #,##0_ ;_ "₹"\ * \-#,##0_ ;_ "₹"\ * "-"??_ ;_ @_ </c:formatCode>
                <c:ptCount val="12"/>
                <c:pt idx="0">
                  <c:v>488822</c:v>
                </c:pt>
                <c:pt idx="1">
                  <c:v>342918</c:v>
                </c:pt>
                <c:pt idx="2">
                  <c:v>551952</c:v>
                </c:pt>
                <c:pt idx="3">
                  <c:v>448391</c:v>
                </c:pt>
                <c:pt idx="4">
                  <c:v>421213</c:v>
                </c:pt>
                <c:pt idx="5">
                  <c:v>370050</c:v>
                </c:pt>
                <c:pt idx="6">
                  <c:v>393841</c:v>
                </c:pt>
                <c:pt idx="7">
                  <c:v>364419</c:v>
                </c:pt>
                <c:pt idx="8">
                  <c:v>484800</c:v>
                </c:pt>
                <c:pt idx="9">
                  <c:v>526831</c:v>
                </c:pt>
                <c:pt idx="10">
                  <c:v>389009</c:v>
                </c:pt>
                <c:pt idx="11">
                  <c:v>484160</c:v>
                </c:pt>
              </c:numCache>
            </c:numRef>
          </c:val>
          <c:smooth val="0"/>
          <c:extLst>
            <c:ext xmlns:c16="http://schemas.microsoft.com/office/drawing/2014/chart" uri="{C3380CC4-5D6E-409C-BE32-E72D297353CC}">
              <c16:uniqueId val="{00000001-C371-4139-9F40-9E26C12CDFC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02626847"/>
        <c:axId val="502611487"/>
      </c:lineChart>
      <c:catAx>
        <c:axId val="5026268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2611487"/>
        <c:crosses val="autoZero"/>
        <c:auto val="1"/>
        <c:lblAlgn val="ctr"/>
        <c:lblOffset val="100"/>
        <c:noMultiLvlLbl val="0"/>
      </c:catAx>
      <c:valAx>
        <c:axId val="502611487"/>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2626847"/>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70E7A8B0-A361-4F08-80EE-EEF15629706E}">
          <cx:dataLabels>
            <cx:visibility seriesName="0" categoryName="0" value="1"/>
          </cx:dataLabels>
          <cx:dataId val="0"/>
        </cx:series>
      </cx:plotAreaRegion>
      <cx:axis id="0">
        <cx:catScaling gapWidth="0.150000006"/>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45664C73-E950-4AB3-A185-36C52F5B6132}">
          <cx:dataId val="0"/>
          <cx:layoutPr>
            <cx:regionLabelLayout val="none"/>
            <cx:geography cultureLanguage="en-US" cultureRegion="IN" attribution="Powered by Bing">
              <cx:geoCache provider="{E9337A44-BEBE-4D9F-B70C-5C5E7DAFC167}">
                <cx:binary>1H3ZctxGtu2vKPRwny7onIe+7Y44qCqCs0gN1PCCoCUKSMxAZmL6+rNLlGQSTYlutO+DFA47VFVI
bOyVa88J//Pj+I+Pxe1N92wsi8r+4+P4+/PUueYfv/1mP6a35Y09KM3Hrrb1Z3fwsS5/qz9/Nh9v
f/vU3QymSn4jCLPfPqY3nbsdn//rn7Bacluf1R9vnKmrK3/bTS9vrS+c/cl3j3717OZTaaqtsa4z
Hx3+/fnpbXdT3Dx/dls546bXU3P7+/MHv3n+7LflSv9212cFCOb8J7gWowPGtJJSsufPirpKvn4u
xQFDigiGBfryh3y758VNCdc9LccXKW4+fepurYXH+PLfP697IDN8fPb82cfaV26vqQSU9vvz4+qT
gQc1tt7cfbGp9wIfX3x5wt8e6vhf/1x8AM+8+OQeDEsFPfXVv6EQ1X8nBPyACkqoJkrf/XmIBDtA
nAgtCLn7lj9E4glZHofhy0ULDKL/+aUwODLlDVCueHbZ3Xy6tek3rfz3nKD4QBPKhVDkbu/jh4DI
A0IFwVSou6/Ft1vfUeM/EexxdP59hQVUR5e/FFTnN2Aab2zqur+TNvqAcYIU5fpRlMQBRkpTwr6S
akGbvyjT4wA9uHiBzfnRL4XNG+fA7f3tHCLijkMY34GDHnJIoQPgF+VE0Tt46EMO/WWpHsdncfkC
oTe/FntOb7rqxt3kfyd32IHEiBHGHrdwwB0hNeb0cXT+kkSPI3Pv0gUqp//zS/Hm7a11z8LbKrkp
vm3d/97zEHqgOMMcSfnA5Sh5oCXEAOwrHnphzP6iMI9D8uDiBShvw18KlJc32Y116U31N0IiDrhi
EJ4p+dWRPEBG7hFDmCgs7wzdApm/JNHjuNy7dIHKy5NfCpXIZ+D+3d+ICTkQmgiBiX4IBj7gWiIK
ect3rO4SpbvI7C8I8jgU3y9cABH9WkBsb4vU/I0wqAPBwEUg8TVHfOjjpTzAmDOpOL5DYxEnPynN
41h8vWyBxPbXSiBf3xY34Dqqv9OnywPIRwTXWD0khT5ASCum+ddIGL6+T4q/JMrjUNy7dAHH6+iX
slAnN2Xpn91Un56dQppSmu6biv57l04pRLpSc3AS323S/ToLhzRFCmDQ4yS5k+z/3JTN//srsj2O
06OLLBA7Of21EIOMMgdH/+nvQwqCL8H3PuVbTvKQR4oDkAxTIr6WaaBgdp9HJ39Foh/g8+elS1R+
wWTy5m/GhaID0DoCf//Vqz/EReoDgjgF2L7yaxGBfckFn5bpcWQeXLzA5s2vxZio29u317V7OmH5
Gyunjxd173hzZ1wf/OI/rF4TcgA1BI7It0odVKnvG1e9r6wKiAj5XXAOWdV9yn4tMf9Ymsc3xdfL
Hgj+/7le/WNEvhf3t1Aj2H3pCtwrZ//82y+PB52KxaVfdfSo77vT1fEn6BxQriCi+95t2C/yQLtH
N910L8K5d80tJGm/P4f4cB+tQ67LMRNMMTCoA2TV8A07YIAbQhhuoTFDcJ+q7lz6+3MwBmof+msB
LQvKqAS229rvvyLyQEAwqjUmGOn9N9+e77IupqSuvivj69+fVb68rE3l7O/PuYRUorn73V5SyTB4
Aoo1h7tAHVFS2FrNx5uX0O6Bn+P/m2OSkjxPqyjrA/VCIjnIw3KuysNqzrJ3iXD+PVdNcVyJYshD
3cYk5COjO5S3/VHXE32cNZ17pRmsse1lpq9rr+g7MlTyYp4Re2N4bM8HgujxVNLsj9oE9MJ3yXhc
wb+PRMkl2iikzbRpsWOf8nEmPrStdxeiQOQ1k5lpQxOU1edpash5p0TxmhR42CqNyEmVUnxpW5pv
/dRXW5eK8jhpVBKKJs6uS8XtSReo+Bo1aXaeZeWhmRwKVaD7TVW2emd6o8Isc2grZJqEPFdkQzOK
j+tCxRue8LYJK1EnF9rQKjLW1Fs25sWWtj7fUTWWr4zrZNiPmbvwWOmtjtVWpbwJJyPQGWOsOadp
GpyMBWKHvEz7C0Z6dtjLPH/VO+TOa5fMu0yK6qIlzB4nhcU7adv+ZVGl7rh3GoWsQD7MPb+IfVdc
iHbso3b0+j3uGN3MQdWfJJKwXUDa/EVR0O6I5zPauK6ZwsK7+UaXrAipyZrDuqj9lqTdFLpZFru4
c/ykY4i8ifPmc1W5hm+hedWazVjmw3vkxuTa9cnwbkpj+1rHPr7FM5tlyNTc9KFpcVltJkSkORbI
l/bQ0BS9LyFGNyErM9OEapbjh2xqB3aYx8xcVqqPz4wqx1MdpOOuawY1bdk8K7OtvdbbqSsmtoE9
EqhNwIq2Dhs/V2eq9+VnPI38KO4xQSGqMT/qbF2d0ZIFu3jk7atiAlxYW6KNNfLzNGbV1Zy6+iQY
BT3PiyTZlkHl3o6ZSHZWaf9W9pm5rlGQbG0bvCQia06zfiCfg9HwsEQZGcPMt74Os2QarwjJPqWp
+sC5jM+bbu4AdBmfkoLyrR8qnoQuqzHexI76PJSy4ed977OXaa3w1sx2OhnbWb4oGx3VQf5mTCuc
hoNM+rO+JdVNZ/18NBE2HCVGpWfd1OTHPCt2JBnjozqwOgnpTMXVoFX9YnDDdDgJMZ60Scrfp7QT
apfPffBOGm6uk6bIj6t8GD6UWqCbIe7HME1Luq2tUqcDbe3W6GGbC35lRty+pP1YbrQv+puMtu01
H2kadbWn75u+SY5n39MpnGgscVgbQ89ZSU26hZ82F4nlWoSMsuSUpnW/mWXXvOCjsZdGNc3bWHNh
w7RE/oi0JMg2qGzywywuwrhHU7aJS4ZfJkGJk00O1uEFtKvGIzemNciLSkvCnuDhWpRGnvi6nrZy
DurzWLo2FC4jL8ys7HlTebxz0JQ5sb3scKhkxs1GNI04z9PE9Lu4cPg2zjt8q8Tkbr3g7TnBcuy2
Q9nOeMNJX+z6qmrabWVtN24GgYY3pkurNsLQHCs2Ffe53OoJ6205ZaINY5rx05bqNt36qufnpJJ+
VxcUHfq4BTtYS4f4tmGVUpsqS5udo7I3h7MM1IVTuJ3DDkzxe8nIbMJ4FFO1zXlXzuE0J0G87YuB
u7AzQgE75yE9c2as31GWJuVmyhJ/NQZ99cmWsxg3cZWQD6zjIw+rxqbvx1pRFoJBDKZQVpns87Ag
Xr6fKuaGMA2oeoMR4Rd5i4d3LSJzdWL0SEU4BPV0HAyIV5ErFcUbr03wR1KPpA4db+Q7n/JS7XSh
ukvUeHVO62lvtId4AsM4VoXZBK4aDz3pJx9BJDOisCI6eC/SsSBhXo/BGE7YjuO5ELJER8aQpttQ
FLQXQ5G16W4cHR13CcHTvLHBkHXRVKk8DwfC61dG9JULBzXXQTjFnf0DdbPOQu+FSE9Nz4l71aQo
OJXdXB76snHdTvo0mcKsLadXKMmbbMNI7t+bLhF8U5qhysLBD8zscjulm9wHwoXI8jgP4wJnYUIp
70NS5PhkygpxjLFrbGipGT93gajeepijiGplp2JDGB+SMB/b4qXJZfzWD9qeF5p9bqegu+FGv2Tj
iOpw5gmT4VjU4tCjUp947scPk+pdETLfiw/MI6s2SZlPx0gkMg6NLESU4F6+jHM1q8skj4MqnFiJ
2zCX3XCoMw0P0MnURXmhHQuFnMSwKcD4vgkyOp7aeEquETNVG/qC2W0DjawhHEQ33GIFXoXqYXQb
YVK0S9OBnwd5b2XoGLZd6ErPj4OgAN53QIR3DS/E68mJ/HQoJQnCElewAeuU1VM0x3EfxTjBb7z1
6Xlecpxs8wBlZleJKnvHZQ8yy0KVJ4JZVm3n2cQmtKm2J3VRtG+VyEp2bGQ2NZtYlgPfUE0Lu+mQ
pWd5BcAFtMBVGCALAvI+KT61QV+k4dhm80UV9MAYF+PibVYV/hRsKL5B2E1vB6TUcVGxaQpjOWdg
eyvKNgMsnYSwuf17Dddf2Z7GOkxzPUSS8+B9W4CHIpNCb8rKgdPrRx7FptLXyTwGb1CjiytGx8Ru
h5H329TR8pwWVdyFdQyaBaPrXmQxw32os9Rd9z2b3HY2tP4Q5HVzrAlmGXC0oa+4SVUfglUM/qha
N82hEqhD4airgG1IrCBU0N4VNyZt5iYK+j7rdpmbdB5mpu7aKCMleufKzr+qK1TdypSp8i0eYsTC
bhrky4xmaXIohwk02WezD11e55c6xXMK6hLEbljCh9PYlTRUWZZeDS41Q2jVEG+7wWxxNhd/AFZj
tplH1VwP1oEX6B34d4bnl3mXBk2Y07rswqTFQJC8qeqrQOYkCUkboOsmy6nfzJ7Jsz6dRRmOsZTJ
kTOd9mcyId20y71I3DZOuXuB2hzuPkhizYbkafwuFmNxXOqxT0NTgFaTIGmuvR3FlRuM3haNAdyz
rrKXuCjn83lEYFGRYvalx0XzclCxhmdGiByKDitgfGLKY5NO4izTiLYbBh4Odgaf5FGQeXyIa+yb
De1zs8tm5CCixWka2qzLXgjMYxwmqiI3M5b1ddDqugyxsOhCdCNoRBd5e4bQCBpqWGOO8Jiom9wU
9CMhEsRKdOauNR4H0G86pVvJZPJRQTx7JAqvrw0ydZTObQDGz5GLfKbZeTHxeNwGvJijbMj4EXja
Jo9KgUsTlhmaZFRnVp/FelSnI3NUb2YiXbY1JrUfhiJP6xAGwejnotHlbewzesLjIPljdmSaNomd
9RkZ6UWqKDqe5gLc/JdM6Gua9iDf+Fg3U2eS9Ovw1/e//ut1XcI/X8aU/vxwPzv259/Ovw2d/fRX
0W2972/Y5Y/20nxf68+BqH2i9n06apH63Y2pfcub/pMvHySND1Ljbzn3lwQQQ6P/xynjg4T8++/v
0kUtDyAnk5RzysAPagEJ2126KNQB5GlYKwSjIOA/KfQhvqWL8gDySyiKCyQ0+CUNOebXdFEcSIGg
oaokgWQPSkvkP8kXYZ172WIAdgk2Jef7xuz9LNHGY1znRoujFG81f2F76Bh9f/5H8tAfrbv//F72
qYnphS1GuXM8BVs+z9P0NiVivJuOuxuO+w+WB1TuL5/JIJ+GsZK7tGu77uUgZpS8Tsa5/vxz8SFR
f1Qti+RZl3OufB6LnSbczlcNLiFbSyE4xCFiqCQQGbcuPvz5zX6kK4D//sNYwD4bkkrsRksVWGtE
E/A3k1Affr4+VIsefRj0cH2pW9RkehI7jxt2jvHAylcDypA4mxQEdlEgZ9GF5dQ2L39+wx88kNqX
Ju6B3yjU9HJ/w77QcjypUx/7DYPwwex+foOHNY7vu1ZBRfX+DZSZB+Q85bsht3I4EZDDkE2TW5Ke
8TzNyDn2uc83rW2rSYaoYLg9RFXad1Cu/tnuxnvV/Vlk+VOAvarvP6Esbc7txHc+Sfp2o4iKJMWf
m5y2UExpk6EvQz/J4KweEpzvPKlrBSFOokgJjcCfifAjHe937j0JimQq+4IPoAJFIKTq6s+SD+aJ
5/vR4gurUANTIX13fDdNVr5D9VRDXuezF+tE39/1vugqM8LSju9yaswtgqnlsyowud+sW35hG+pg
4E2bcr4rnOyv8dAyCE1muc7yqIVl6IohaxrS8p2rg3neIcjYuq1o6lquFH9hDciYYDUVGViDmvls
sy8GQNrXApW26/SzMAckm4Kqtk0QVfUkxaU1MPh4XToXPGE7f7B5vhQm78FrIftAED2raK5xuZsS
FnThaHLbPaGg/SZ8hHtyQX5d56zwZIoh4leQEg4dbvpdMUzYbFuTMr3yNguKU1bHamgCGTnniTuC
WmGFdnOFi3HXGDeM66gmFzxu676N6ViqqCH5/DrvpvRFJYV+/XOsf6SrBZGHfFQYMn8dEah97Qrb
SXqWsKlu3+Zc5eMTqvoR4vvP7yGeqqTJlWxU1BUMSg3ljF7oBHfFXdD5nzp7SR8uX8cGKpH5LCIv
WyjdoWxk78VcN7uf6+hH0i8Y7XtZSwUzIlFfAAKuSMod84FsVkq/4LOH8vJUTJmKmN0nH8WkxiC0
aDLzyhss+JzrgLd6BO1rXLbVcYN5Ney6TM7D5SoF7QPX+/BKMlGLodgaaZuaa6msvRxN0n7NKX4I
736nP8JnseBzqfuBZz6RUVnYNn4py7L117SdNTpxQarlFfRGqDhe9ywLVsupgxYM4jJqKHPmyM10
3JcHygGt47NY8Hk0Uysc6WSU26Rhx7YkPfQhPOue8s17tTymrgWlpyRLUDnAfmrjqem2WUKlvCyD
uRcniYvLfDcmZKreFVDq++CrZKie0NyPYh6xYHkxJrGs5wHsbqGK5iQNbCwhss81hHXKDRlzYeWy
ud+YVDTlIfR7ErkVbKD1qx454VcqeGENplgEUuVBHJUy8FtqBhkpWdAnyIT3tHxMvQtrwHs3mpa0
OqJo7urdjOPe7Xg8z8VRA0276UViy/pzE7ChPGKzqvjFSCmpzolUKnuncsL5E6L8wC6JheFQVcab
ejAsamRs6UbM+rYZx6FdZ7TFwmwUHRXQd8lk1AXNECUOQyspoSr5tIpofGE0PIbORZYlLEqaUUGn
cWguLArKdTabL2xGS5MqCwKpI15AJrOBBh3U2L3pJvvELvsBy/jCTljTTpyMnYrcNMTkWLGuQ3+M
DQbGpSSFkm9lfFOGZBZN8rEpZ0vWwcIX9oMOVQGbqBORUHHpw6Yltgwnz4KV7oIv7Ad0+fLWi07u
fMvxTkx9sp1FHWzXwb4wEiLWqMracY6sT1w0VzILRddkT9igH1CCL7gvMEqDEVwDVEdNuSEOZ9t4
qsnKTbWgPmQ90NEz9RwRyBtDlOK3VcKeilp/JPqCzVg0FRuLZI4SOblzP1UIYoE2xdnKfbOgc5p5
19BumqMgLvUx6cd8G1PFolWwsgWbadPzxuWwuovJvsguoWFSYrNOdrZgMxReZ9VLgBXKo9Cwob4P
RS7ZOjvKFlTOUNChIbZz1GJTHFpdJZues/nw55rZ0+YRf8EWfK1ins4zDoZoCPgtpJ15f8gc1Moj
N0ix8gkWlKW97Kssj4eIAnFfaldnO8zqfF06vh9juR/euQpCoWEWQ1QzLo6V5n6bTdVKc8MWlMWu
LGI1Zz5KbMFOTVHK82YsVoq+YCw46jjPMXVRW2cx3nQc2h4yHfN0+3Nwf0BatiAtjxObBzOUeZrK
jCe5S9yZj+NiJakWlIX6aNBjn7nDzieDfUWho1W84DAHk67bN3TB2hybvk16MkJI6OdN3vD3k56q
Jzb+D3RDF6TlWZAzpeJ+1xYpDqn1JGw19GRWaZ4uSEubjJE4Uz1oPnjfwSxGWOkxXgcrXXA2b+Yu
CKz4KjqDCQboO4q1oi/ZylXsVYr7nR6gaEz2q9v1itnDcS/XzlHfxDBJ1O/GTKcbr3IfCkGylWpf
sDVlXNWIIFidkdvWsOIwMcnKyta/TaTBuwuUSWBxPfsyKqTuIPMS47rYYN9Eua8YGDGQMUwK9Tvu
4iEccU9C3MRunYuiC66WaUOqmiK/q/q5CofU3Ppsxuu0vj8VdF90O3euqdPB78o8hU4/4++DHmZk
VjGJLHiKYt7RKQ3cTrao2trR3MBAkl25+IKmrdUwjWW832VCp6HITBH6jsiVqy94KmkWJCbQILr2
+NxCe+QylkmxrkVFFjwdPSMVg5WjGcPERzhXSvBt4AJl1+0ZsqAqaUdd+ibpI5jrqLowoA2PmoG4
j+uAXXAVm5h09ViCZ41tcaIzi7c2z6bdutXJwz3pu7ihycR95DT9gDNyZRm9Wrf0kql2ysppClxk
0uACzOP7iciVtUKy4Kk2ppS4kg666qnawmTT6zqP63WA4gVPq9wGnVbeR4FxZlNk8kySFq3b7PtT
UPeNALSFh8aOKthVxfjJTPgt4SVM8K/oFeEFS5UZkgD89RTBstaFM7GpCCdLk3WmFy942ifcpznr
XAQnHNA75sAOhNbMeF2kgRdE9W1BUBHXPirrbt7Wo/wjNU28Uu0LksbKtDDB1/mIT920KcsGRM+f
6rzuF3kkOdgPD9zHVFeCmSYoXQTD4fpc2QSfF0HcvF0H64KixBHXwXt3YDumcRrScngnlVkJ6YKj
M6t1Fqe5jzre0xCr8X3Rqst1ci84ygY2DobC2kFmXzM/nXNmz1ctjRYMrYc4ThxN3A7FQbAJMhhJ
ntHK+gBaMBTjpoE5VRLsBNIvykm+Vx3MCK4TfEHRIIU4vatBJ0VaXdVJfRiX6TpLvj+McH8TsmaY
6AgF/F09w2D/QE4ZX+dB0YKYzcSdqBvI7USZnKl6jKouXtdmRQtamgKGhb0HoZvyzdz7TSav1yl6
QclCZ10z5wAiS/M/ulFfqVmss1NowUff9vk4DcJFk83w63lyJMo8tdt1gi8YSat4rDKjXWQDGCUg
VX6kY/1u3doLRuaFsRxeuBHsuIHoNkDihmm6zrHBId6H+w82dtsWCFxyasQYcsuCrdayX0UceBXY
w9UVzIY7xvtg14pXXb1VUMVeoxOmF4xMk7RlbTq5yCsY5hiobULcitfrFl9wcoB+1zRVsd3htDka
CujttzRzq3YKHJx+qJLOe5QHBSyuCn5JffPRsKlbqZUFLzXjE2qVtruupJcc1h59v3btBTXxYCSl
I4ayMaHozKskO2nZKFZqZcHO1LIehi49bBQ+i3BG2ZsCBszXwbng5qg9G3INzB/p5OAwBItFvSUQ
AZlVpoXpBUGboWQx9GpclLDmJhj6t9B8eLNK9uWwVk8p6gQFvXif8C2cfjIhvKBCroojoCC02Itp
L6EePYLg43jpa3Qy9u1KhqoFQ7NSIiZTaiOV0/MCBg538J5Ask7j+6OC972mT2AyXvveRaiBkfCg
2GRduipIYWrJTx5UU0JLGxHCyWYocbeBsfHP6+BcEHSCjoJVpbMwzSDeJ3Y8MZK/Wrf0gp9j5+Cw
Agng9AYuhrCoZXtYldm6MQy2HKyq+VDpHmaFImghzdtqri8ktU/NGOyf/t8DcaYWBPUNsXmKhy6q
YdamCK3vgtMATiq9XKeZBT2HgIJVZB4Q7adPFiK40ao/Vi29nKZy4HjSRsCJlFwkL8emOUZluW4f
Lgep+ljlIitYF809HNLph4Rsg6L6uE7uBTnNzGI4cpXbSKfNJmfTBRzZfCLs3PPkETCXI1NDAPXg
vpFdlJY992EnRXbeimYMh4z4abNO/gVJeV6NVV7zLioM/VCk7G3Q5K/XLb2gKBwYsoWQcQf87+1R
b+FsG+7ZulYdW05LJSTlpqMEBGf4bdnDsSIWNNfrJF/60LFt8g6lNuLEsGE3Uz+xsFJFmm/X3WDB
UzgIlyivCtiSY3BlSvLatOtycSYXHC0MbyFhhqXjSV85ZF7EVKxqQ7HlgFShprhs+6mLaFySKFDE
XeFkMKsmfdlyPorIHvHewE6M0QzHNeFsEGUrp9OYWNC0HOPAjTbtoqpv4PRtLw/bIVlXHYZTDw99
qOuY90yDysE8nvYTOS34uI5DYkFPPSSFz9qki2ScVKGcp1PdmXV9Mzjb/1BuDbsEjSTvIlz3lxS3
Zx1yK+Ve+NAOTjXFYgjayAr11uDuCo4WrUrimFiQMx5ZmScNHK4UoBk40J8MYTuVap09XE4jOZq1
QVbrFvo2abvpSH7lA/1mFeuXo0gIQZ5VcdRGiaElHOWCQsXOo0CsU8xyFCnLNEylwVH1iOqp3Cg4
WPqyMGheh+hyFKnPuIhh1q6NZt2RDbbsAjzpuu45W44h+aBSNR9r2C61ZigHWzvlNg2V7vMnnOl+
Tz/iTJfzRjALjHQywonoJEkHuamgeBbFMWvX9RHYctxoyr1XXRk3kQps3m76oSk/ey2HlUkjX3AV
lwSxQQdN1KWT3ZaJyELQED9ctTOXA0dSjqNCPWoiXwiyQQKG2Clkv+G61ReMdQVM4FlaNZGFA4Mu
xDPJb/JprJKV6y+86Wg6OA48gm7qNKtD48o3Y4HX+Ty+dKekHspAetB7pZqjySJ7OBR1erRKM8t5
o57CmwmaYmiiLObzW1THyRG8qK/J1ylmOXBEwU5yMgGsuopbeyjhxSYs5HENbwBYJ//CrUIzLq8r
eMkC5Bt2OO469SZti3W1ebYcOZJ5SWDGuGsiydwrk9irIXev1sm9cKtJPMEB6iJpI1npD1U94DBl
7KnZ2h+YmuWgERzXlyqAE/wR7TL1QUJT4cjnZb9yyyw8q0PBOM2U1xEwVYcCRl/CYArkbp1iFlTt
4Ly/awpYncNLEEKOm5O8emqK6UsI+ogNXo4ZtWaE8TpF6qgXeRLDC1aqDIyNNGMO7wzQSX5UNtPw
Cl7DUhxTSwMRuTRt+Ws44ibbS6j/2e6VlqU4yqEvWR9lecUEnMg3UIxPxlbBawFmlrXdmwHe1OE3
aGqr/KaGV9e0GwGBJdliDrX2nWz86LcFhirZRkCXejz2baCyiMgxZcdxnQ3TBiOoJrwLYLJ3OsQ0
s3JL5QhrDoVx82HS6tTCaTsy+8OSkHHe2r6k1YdRMhZfOiaC7A+LedtGaia6j7oRnnfbuJnvMtRz
eKOGJDjfiEkm/ijBdaLPhIIXBGxQO5NX8H8fGOC1IaI7bozt5gjVWk2HQ1n0bNt3cNh918sBXhnD
i7Rnm6RoyhriWa2njeoMlWFZmw6fDlWc6eOCwhuJohm0PWw4zfv/5ezLliW1mW6fiAiQQMAtUFW7
9tzT7uGGcLfbEkgCMUmgpz+rfOXmt78+wa3bQbGFMpWZWsPV+0A/j50N4yoOrfVFW4+1/wC5iD49
VoXEu4Sp13hhcqH9hSWix9QnKAin+bF8s0d60bjeUEgqc4FM0s86lh/qtDn23nucl8VNDGQ+8N7J
Ul+mXN3XSXRsOLgHeSUWyJQIE6QLnCPWog4gfpCrqD+4JrvuYww5ZRKXdhdO2rZY5fAXa8djRR/d
5ckW9FbbpWF/WbbFPIMN1tz1dNbHUhnd1TSCNeHSETZd+Cjjxxj1K5D/y/z1UCqju0Q5am6tNba/
yIwvb2M2eAzzu2w+uOy7TDl0zQyaSN5fcgyVi4S0j8LzY0yzeA/yChHCSZyZ/rL1ptZVH7r2sg5h
c7DL2cO8oq6JfECxIxnXyXoiU7f4Ig0SOVSHFn8P9Zo1ZHUCiFddcFH1lzPxfRJMxxgd8R7pZRY3
2mFLoTUR5sCRzVO6KoittOSvY+++K2psMnhqF2Iuash9VqT9QHHHnhFyDIsRk13EOtOpKFw5CgT4
FRVL6tpT0zQHC4Q93sukrm49xxGOO5oRqlgRKw1kkS7HFmcXsy4EVTppuh6sWqXuGb3J1rBhZMfw
/THZRe3UdtAI6nuk4W5J70VHw2/oabdjo2CyC9p0hWCWnlCvYpS1Xuu4Xi5pOKcHN/2uDyEUKijN
7XRqG83LyQ28WGatjyWcPeQrGqN1WdEnX4Ktoz8F0OY/vV70MeRnvAd9JYRC6KuV5gKZZBtcZd5F
ZVg7l/zm7vA/eHXxHvgFbmtdM5V1F68iOn40srE9lJI6Yio39cFHEM6egyBXbYUqTuYlh6AbO4sg
SfpjX3+PDwMpGCJ/LepPtw0C8ny6hQCFFp1Rx9roPUCMhdSjZ7llpnqO6gfdcPDOtgGKjeWh6NtD
xHy4jKDXku5CadTIYnWti4tWxvZggRXtwptNXo8dwQ9sCwFs2S+fgd7/cezld6GtZr3NOcQQLwZy
R+XK6V9+To6++C6yOYTwpkmm+oLa9qyIvCdkOjYC+JtC+Q8oug6CkDsoiFzm2E6lDGJcNTj//tii
7MrlWaiRR852F0hjZqdFQHZKJ83Bo3KPE3MpLNw6fNFLM67Bd906+mOEMN2xZnEPFJvauOvjLtIX
1FrPqfUPauDfDi1LuDuD+Yp7Rjb23WVaibiP1JgVsKNzxw6xPVTMSdZkVlJ9oTLredFm2XAv0qUT
x8J0DxiL87WnrAv1JU26thzy7E7G0XbsHNhDxkbTcV7nTXfJY+Eep1HHJRSz7Lv/vfC3yv5fevRw
F6S5k5t1Ec535WPoY87hxPOTCqO+PzF0dd2xGmuPIcs2VmeM8v4SLnQ2BaTT2ltohXl/7Cy++Vr9
E9eggwYStHmDvZmQD8scvudRfXDb70IWShZzFo54d0zXkqoZMcr3C5T9/vcHuGXa//sBYCT064t3
2IyBBCrwFKVj/d5ugfnQieQYmwmqWr8+XTVdtIRkUrccnL0zmiaXuUmyQ4tO91gyg+lCWOtO4TIc
U4l+yN4FMW8OLsyual62uduWrVFACEDCqQT5cPjqVd7bg8/f9boQpKlrqG6qix/T75gdPelUfD72
TXenamxD3FaDIQjSal9DOHFa7E+o2B6T3oCs5K8ftUH71on6tuwmqzFwnLKrZslyaLvD/vLXp/ek
XVY/4uVrLjB2ighEkSEVeihV0nwXpznz6ZZMmL9Fbo62qmuARyjbrmvtoeELVC9+ff3MutqgslWX
SLCtyngYvvbg870/9GX3qLKNNZhwuSGoeMTX/r4No/CZEJMsv3n7vyct/5IO9sAyGPuQlbEFW4ct
iX4Zoqhb7hpph/GMRmwhZ2jpsakaErX2j8GGruDRpJCM/QpjzPi8MOKvaRxsSZH7eoG6whZI+aK7
ZCWlHoatKT0Xtf/e11uznDuDM7dcknb9AVnq+MGadr7fGmHPtF4cHgENDFGEuon9RxGB3/JO3nQq
PnYQS54qNGyxx7+OrhQhkJ/PrRGBr/B/T80TJXVvfxxb9F1xAFwjBKdBSD7xOmqfbS6hAtkQyGAe
e/wu0UDcOukxHZUXsoY/GRne5RF/PfboXY5Br7npgDl5oR44W0XiK+mn3wlp3N7v37bKLsssS6C5
n1Z5GQy0Oq7j5JWD6DNQD5VDh8CvUOtX4tB0DXp9v4ZVNEAZO7aJvAQmYKdYOnX2RvFPx9Zpl3PE
Vi/oEam82D4WVVD7z5DL/t063Rb739Zpl3KikDeLHBd5gWpp8wGo6vglE3z9Y22j4DeTzf/6iV3S
CescyrBmkKdppZJBX3eAJn1hRwzbr40Do+03TfV/fPI9ag7wBA7dZcVP8IuW8rwkawR0WKBOjfYw
AgCi+9hUie5BdFxgdlKPCovWkQBAN/YZiejgAZbuAjqA4AgGAZ28RLiOm6k7zzT6TYL+jy+xB9Gl
9CY8DQ5uJfmQztdcTcm5z3Lc+zNuVXgIXfC328U/q80Ez2ZNkwaQ6YCQILju/Es+pMeorfRmAf7P
p09bPjTNNraXNE3mMzDXWVGL6FizQvdAOttgFEmXSFwaeH+cjd00nCmaQ30cTXeBHDITKZWquops
cx/WtIh7dnDNd2G80VBN/YxHex+f6nw464Yc6g/pHkO3QXWtmXJZV7IhD2kSPAzQfT6U2fYYOsAK
b0K4TV2Z1g337TTNlyChH449fFfd10kq7EYDbPaITydjxrjYchWfjz19F6VhLsc6CYPmkjaTeQDq
9fPAt2PisHSPoeMs5YElS3NRG1HnJZ+7u3BQx6CodA+jC7YV9yl6bC5N2w6VEdljkI7T6di67MJz
bcNhmWifV7OOm/VMiPtkRimPDRVhlPRr9Is+nwcVd3nV2eFZqv7Sjv2xQ3wPpdvEunLNUUipeWmK
bunC0qvkN5n39uf/yzG7R9JZoPM9GH4IosnCOiAfS8OgKHxszXcHrIdIz2Rn04C1pLey46aHqcXY
5ccAaRCk/nXRc72BcyGTHESr3pMiU/X40K/QQi8Pvf8eTbewru5SGHBU2nnc2b4DCuA3K/P3qPZf
1n2PpYuZjyBOxcUl2gJqH8JGJyAYcQiHfoRSUn9pktzTIh2sTk4M0zVXDrNMLOQ4DdvOw5KHw8mb
iJM/dAprkUud0SY9NIGnexTeGgwRdDfmW7s0zvza0DBbTmKSU1cdW9dbGfCPWW3XNDPLIpFW6ygY
EtTWLl0pEhbRH8d+YBfs4ywXb2uznJYetig6i11l8vjQpJnuYXgo2RJ4KujlFN10v1wygKkN34Fj
b05+XRqT2niCTcJysgu0m9UUD0WvyDGMH012p3EsFrDhl245kTaC/4CEAQkmEt+Pvfou2nuZwVKV
1vPJEqFhfhWAwLXG4bFzbQ/C48CahnFA51MPZE3Ry5E/q5TOb4fefY/Bi50xNGLDfApy3HrE0vNT
syXHFmav+dWMLupxETufoFFJXju9yu8s9OmxMmgPwPOJcMO82OnUwTythHI1FGHi+pjqCY13oQq3
F/hBwd/s1MDK6JzUM/TFA3nsjp3uQXjUEeqVnKcTdVoAcTV/BL16/U2O/Y+jbS/2tbgBklnpNp22
NPKFDOVYwg7t47ENs4vTBG4iAR2w6l5DrsXN21/hKI5xCekeghd4o4da0eXEwZ6pcidEiXx87PIe
hny/phgPGkTdWBRWqSHfJ00/aAGvs0PLsod+CY2Rcm/i5dT87S9jSH2qa8Do/vfT/6NN3KO/VCQH
InuanVmtEvsqFt1oGJQRNZ7j0eAU/N8/8x8bZ48Eq+HSE0ct/oiEZEFlScLLboVB27Gn36YE/zj8
jICz2MzwdM67poIhEeAf/fbnsYfvwlW2SAfAM44ns5qtbPTQVpOujx18eyRYbuJw1kkynqxc7FmL
jBQQMPbHTr49EgzGbIz50Y1wWfPqHE3yk4/a5OAn3YWrFzr2PWY9J5OJtNQKRkOApB6D/eNW/9dP
2qVbOqdZbU6BDsay9aYrqIEX0rFvuovXOo7VGLXMnJp5EKVPtCozyORXh56+x4AtsEHDpTbPzm3b
+Y8+NOtbG3a/063/j1Dao8Bq6ly0AKx8SsYIfJRbwWFI9LsZ4X89fdfrwuEG4+otz89xgNG5DX70
qvt4bFl2USphi1rDPyM9Q+cLRoLWA504i3X6cuzxuziNVE97H475OTG6AwC3XZl4ZJHqsmOxupf7
MlO2oIo3+TmfoqLNyb0KD1Zie/AXhLhgIUbwaB3j+LvhIbpjgES6R37BDKKpRTrkZ3+TPpIuistY
ZO5Y5iW7MG1DJWa/9XEFFa67bjSvITumJgiD7V8zQJgAVES1jisG+EPbBY9x17w7tFX+D+QLMkJi
pF1cEbbo6BIbBd61cHr5dOz5u3FUZ6KhVUufnuM+WiGhDt+8+xtV73d6grdg/JdOd4/nagJpYvi8
sbM2wXQ319bq5ykNOT+Bp5rWV67hPfk0+/r/o7n+u1X9tx/dhW+6kbqz7aDQtq6uW8tINYqYk5SI
OnUWNcx1i6HXsKspOpjs9sXabmOXwo/XMKHPaKxbqQvlpd2uot6C+g9KHWB3HczQelnQdvPOFShy
zPAoWZSZJzvVLmLXNYjTQRajVzyARRzNG8qLcU4NCqGe4dMVST70/A8zCr1ERSxTOMVRLyH3XG1o
6FNebYN1I5xKabt+gIScsw0Mg2HxA5nvrVmnrohyuEjGRb5BGl7eRUbCVLjQmFnOGtapo4IxLJ3S
vvtkiEYj06Zt9pc2Gv95XIbYVgxwX1osWCFZWljRNhe/LSsbUSPTqfujx9A2XYp1jMLIFTCV5uJr
18Qy/6H5AqMfEDl9P+oCal/t9uUG0rszXm8rfDghXVg610yRrFIQJ+uTx5UNgWVwvU5lDUvSNi8t
c1uiK2J9Ej5EmWX5uUkWr8ELG/rtDi4BXZkyY9lTGy5NVoUNdbQUKRtQhWUavscaArgwZORs6IDf
bHvBqzlHv5+WmJCsHEai49CNaZERloI3YptLHacoG5FLmF7u8bV60RRjhsquyKNA6WrRHfk2zJpV
bvNr+mNp/EbPZuwT+exHkrE3MZA0faZzTemjr0W28Ep5cFRgnOiWCIoInqWLegJDI8P3Mk1j8HI8
9DlfziFUjVGN6bD38m5jdHXfh0w3PS97i2HwNQUDKf8Yrek6bSVMJOEkxrPgJgOpFtW5ACwWD9AW
FHTSxS6nDd+y768kwSCNXJnsMlFIJvMzgzl22bPV6RHTlC2Y7K2ytNNDuEzy5EbkqGeYTC/tx3Ul
vMuwHXqynFuaTDDY5CImUIkVm6rQ14jsazbTrn/IV4/GTyThso6FMzOG+UWeJSlBBTXPlNIyTyht
30UyGxkMp2u5PnTEwTS6CGdoq3lcM8PcGdytcJvgfaoFg8haqJbvRAXgzIw2jc2HNNFRVsH+OWm/
o/fJFIJGx72tpjbpp2e5hJx9BDxr0Od2S0ETyvuwT+59EhD5GAkn/Z9NB9dpMGbGoI+fBwStOHVG
bORqdNQOn0Wgs5AgvUkYsxapjnPzHM6zjL7HbV1ncGfkueYX56xN7sOxifsvrWNbUkLzPgQbnTv4
m0PaOWHqRz07LmHFOsjse0LZYD6DXe4FDE4bnF3gefTbE1B9cFkdSB/EP/p2tP6qidm2j/DMhn2z
EYikH22MbX7HJfHPMODm55AMWfuSjUvKTmHWGPF+kGL1rw4EDzihKgLdgKy6KRGz6+TmrvtL4uZG
PLRsoNul71tVXwaSR+PDMuQpKVsYOZKvGSNx/mfkZP0MCnlwj2sk/wPUFl20LuEVh0BQUK1wOXb3
8JCw/g7iQfSLyps4r4wC0/FdugnVPUe8bqKr65tlOwWDaNe7fBtDdknZKsPPIatl/V4MOTel2eYA
mohtmE8g0WgGIz/rp2R8mkI/h1dqmFGfbtbn/csCV3txDoXs02peW4vc6ZJsFGfgp6Pxacgt+6Gg
CdCVNUaG7kWs4YhUIvrVnVjSzyOvQtxW2QfZQuD4XPPFgF4TpJZ/FNmUx1dt4NEME9JgZN+FyFtT
8m6Sc1tkXVSHMDqCw+p1Unqaqxn+8UE1Tx2Jik55Z77SOccbVEnII8gZwkwbnuF8Got2Dabu1N0k
eQoI2nn5PDgQ006JGd03Em6OwV6Nd9DlhBUEe0K5xH/WCOG0bJUgumRwnu0/bwP8GSFwpDUkzwoq
YYB6dTNYsh83+NONdSGGOV2R771xPfzBZxzTrsDE204/HOyykzdYcIw4ECTUavL3Ck+5fUgzL+MJ
Jo646Tx1juikAPezSy4qj3J5spZTtRU8mjP/4NaJY2qxwsYqvwvrDTUimGxCXCe4rAWFH5sm+MAS
OZJKxGwJqim0sKdON+/btzGEd+idnb3LL4vu4Sg9OFJvjxRmOa9hNLXNB0yOyCbhqarm/AzVeD7f
5xIdzPOGkVh2jmWD826u62QAzjsW66PmYSvL3o/RXMZmTAPwFsaphltriB0UvZ9DqUHGgMv0/Nqs
YUruelwZt889lO6aobBbDAMd6IoXgxvz6BrRfJpfEhivd3+QZs3UI1N0wh7rhFbiT6oyj52gIdk2
nXqeNfaMv2xtT4mW8fSJSSvq+4k3Lb2CRMvU0zISGHzBSjZUrIIvE61/ekglQ9N8EvBNnfqGc2Cb
wcDCHsmgo3QvYKNr7kyr6c2qFhji8DQZuB4Wdt468gG/mb3ZSMzrNwXReHDScyL6uBwgv8jhdD3L
ulxrs35oCZvpXZYbcF2SrgNYVdsxC8rNLDMs5cberSCQwEe2xIVCJl7xuknysrqNN3dBR2LcHDW1
DJaPWvu+uwd0V3hURZ1ff+DUmDoJjdQwjN7dbmpoWFIxpPC5DfNYT8jEfquvWYtPD6FZBnezR4eE
PLzA/WIar+Es8vlunVme3E7uVUATgGMZp6mYc0R5CL067hdeDo3btnc0X1VewDUtY+c01shvcPaF
DfdLOEfZ8IcfJwPbYjXDDPm6xTRcn2PsfvGlnVZY0OCPpH39IjEOc+8ziUW896Qd16qjSzLf4fwP
DMfiEm1PzqcpHLMTOfceH3Pk9mydDPSnNNpm/WqxZvYevsxL9NLaRjRl3Ip++rKalCRfNUm3DD7C
FkLVBitFFf+zg2Zq+ArV+jj/o4fyivw2qEES9FcQRKSlbkmb3ul0njbUbyLMWF8MwbLhKFQrjg9U
e5CMZUFi02qCSEO/AaOXBt+hKr/FMK1HAr/6ZZAf0wX7+yRDp1jZrB4zV5128eeEABdR0i2r2xK9
aJzCEbFPlwtRacJsQddQD89GDAKU4wjynWeTt6p/otq4QBUMDKw/2n6Y13MSNbF9ibpwhP4u7lnz
j3HWOXG2Ck45rwMR9Es2weWlmuIao4CsCWb2vHWmTs/h2Drygvsn2r1XMp38Q9R2Q4+EGSM2AIsH
UC27SIiojk+1VrlZyyyO+esG5EtQrqzR9v3k3QBCNHivxJWQMaxlmeZRY17khBlTITRXw4lu4NWq
Myhq0SmraddVY1gTfIlGqOgpXszNyZVNt+InA7RS8DLP4M9e6WUIo6WQft0+t5mCalLhNViLHw3I
bfSNT6x/HLsFFVcpeBuUUQtVuK1EdrdF6hidP5MFsgd3nDmD8z5dQ5TpFAReMxcbjYP52uAVwndL
381pSRI2VHITS3eRK0L9axKOzp5JKlUEZ5IRkmdR3NCsogrwYPi6R/6c4zByczEmdTs9L4BO5V2p
mU7Vo4SP+ku23QxQ/ejpw5RlMjxlcLBZcYyi5KhGHyPtO2UDfpWsS+aPi6oj+74bl6jEHclAvm2q
drasnYjvUK7BNVOCRdNj0l6MayvuxGwgrBGDV43Dlpbez7kpepghsWoeQ3LHUQ98hvM6feCQUtIF
y9thKkVEGIdmqyFF38ctu88c3/6Mwf5pnwhCR198C5/npyEg42voIPGKFojOj5xlxKN2iuLx1QYG
sN15TUsGGvkT7nNA1japplAjBw35aRsz8ql3AT9J0jJZaL3ODxaG8y/cQUG/ktjGZbIuriSibu7i
OM4f4em93fNoVd82btsP8HIfyyZk71Qy6k9Jm3d5wUMzAXayKCmHYg2b3E2wZOdiO2+wqtvumCX8
jUWruZ/bLcsrbGdWar/49dyNbXK/Ab4Yf3JBln7gygG1UJG5S4O7WqfWqaLGzs1Ak99E+Gcz19v8
KUkY2wrb6DUDlDOybquamx7AVW2rh2xKNkabgbPuMEwEfQz82tuKMxsF9zaKwcYGrdSF96OI6vx5
CtZpPlvw/MM3zxRhZb7Fdn5YYpPwb6hc9XBKZhKQO9OYJn5sV6tg9so7qwoXmTF7o4sy4ctAF2pO
kGnYOkgSTExc+8Dm6msg4CXclsnWJE0VTrCRL5akQSmaz0valKNCjeKKmgaUqmJLtqX5sWYJHR7t
2lv/HaZUDuWQmLMEu1shthJTtCAMtSeo6NTkMmaqad+tEXr/U9/FVJ/nFHmnQkfD0+twg9+dhlQT
+gJSTZs8AD9LoyrK1yS/RqBNrX81AGPrl2WaMxOWW86tuJ+GiYasgKBIhutR3xK1vUNrnBJ0wYBs
+odpUhPyguhSFz0ZjZD8INGsuq8ykfk17nFFRift0q/RRGXwTeOCFW3y2idwXMQQWpTYHSiWinqx
yO7TuKyV1XzMPjNw+ue3zCG3f5mmISdtlaRDgPOq7pLAfmDOtysvAjix02Ke61GXeU0VeZ58tm5/
xaD7qz/HBmy2U9bCtvD9psSaQ3Ag6cdXeDwncj11Fuqul7wJSP/KEGXIiCEdhwzpSawphoWiA635
rqWhcHdUChnqKvYjSoBCMcY4ZOB79B+o+Nqh3Ky51SKwcZndu3YeR+4uueRyfFNT0Ntz3wZzfp2m
fEnwxXzuxmogarXfZJ6Ai8SEzKdvs5ODPRse6qDM5RI9NAOvWTngInx+3No25vgkaQMy4IQpezka
O6AoHRjkZN4WD5VcEKSH+rHnZLi4es3eD5RsM6qDxHvzsimlihHeoAVIYXyh8BfL2v68uSyBeTzs
VJerpxMaNJEvaTHNrg9MMS+zm96lkUvFXxbWJtnJyzAUFXO3c7XgEzwm7mqU2Y8NpLmw62ik6X3d
wp/1wfCt/5xnWISKznMcqSJsAHl4m5RvA1SpWxhcVo99fUEdEKX3M46A9g/naHNBCxDlX3tInKei
THIeNu+NTYSAJHSkWbMU2GQJLTNk1Q3dXADinE9F1DxnrQt9OSLgP8ko0SdVN6xDqNXLfR9igvGE
eQVNXrNuZfLe2TH/jknMF5QeM2GwVGGAgPfwiCHvO8Lrb9CzaJuKayTFph3l0zyHqMw8BEbcVaWZ
KI3fYDgCWkd416QjVU/DTCf1NNbL9LAY07d/wCB6/hkMcpqqdQnwGeM1fZNLfLvckRnO9jV2bwy1
xFxxP6BWB65pXgvlUn0GWTlnRWscR22Aq0oLs7tsxbwWmXDCfGdunx1YJnBgzG6THhC/xzeJYqwg
CRDoV4zS8+mRDtkQvNIUID6AgtKO26tlnM8KH2XZwgmM7rptTmtIszY9tRlr3vEB3vCnCOyV4a/V
EmnLQGBy9Q1aDXDDHZNsik+dIBvB1mzIh7FBP3LZunYqSIsEagq7jHCx42QRP7JET+SNukXYctNT
hG4njZVdi9ZmKvjaNFH9PbuVJnfZCpb5p42Zn7NUc4xyNx8iFLM6lstdDk+QrMzZqH/2CUK2yGDZ
UcIWJIxPKo+zv4d/knoswpadoG9Zx2hlYKp+Xknq0i+GBzn4x01eYzIY5BrKSJOBREGFokS7+4T1
/Q+lVhohz8Wi7d6g1Ja3JRmFo3ftHG9/onXm/mFUpP6phfJ5Av/vzZJHLVw8fArqkCU/I1hmJH+i
tRSYjLQ8ecz7USJ3hGIrCY8G9zrmdWrA68DdUswZD1+bgDFMs1F6hA+Jg6DoObcjI9U6+5CeLLOT
LZRe1g/QRI7iz2bM7bsgiKfPWZ1Gn4D9mP2lr0ECugt6NMar0qs9sTiDoK9vrfmMNZcPXSQBa2Mt
DLihcRL3117k+VAmptOuMEEtv4CpuxZDAvKWMbFjD+NqgteUufWJ5V5k576G9MJJJdt6GWArcYmM
Cq8xPJmR8zo6vYmcJ9uL4T3Yw9ZC76dIhqWeP7gFEq/fICCC5mzaXCy+YDRM04LZDetAXNsiLeQ0
oj0qjhT84yycP4mVoUikGCVwjiqjTQLIw6Y+qEbA4JNTknHMTRzs1eFTko6+uRATmjfIr7fyPcl6
kMBXODC8b/AiBW1sZJYSaXubXTFiNkZfjBRpXFKD1/nU97Xrz+1Qt6IkcWrc9xvW9dp3SuuHNU29
wm/IYHovo9ipF8pTh4Jta+g5y0zQ3wFCmbp3GEV3J6SJrjuPSdJOFRFWRYDLwRj21LsQSQT6GPf4
FhhH1CbpDdptB9Cy3bb5/RSI1pZdskTqPgis9hfIj/k/gwS2SYWCNeQD9/2K8KkzLId04Unm8VIO
w+zuaR+h4BRN97AZkbwHenkAQwD6jphzQKiBxmn9JfCAk58zMGS2T5gzrRYH0RRGf87ZyEkKDxzp
MR6Y1GK6a4cbiuab8MOkS3wpEN4zKVCZI2Mqq0sx1Ab65RAvyp8gkZalZe6YWa5rHw/ZJYUHOKxR
a8uypggSyB6eXU5vQRi0lnO4Kw7omJB8ZNX6KXfXGaSMvCD9OiuEMe67fi44O+urGeeQVxaK2iGQ
mJrE0Vsfo0KrrMtHUaaxZeD6zGyTbw2DTE0VQm+++aIw0IgL3S1CfApXj+zBg4BF9yyNdFLqnChS
9ZiG2bLvLEZbBUhQK69akAvDl9gMY/YOhiCNLTaoQJvTstVJX2zEx6hgchPNP4IRrgpFAqpH/g5e
Nja9iM249AfDH+U+TyhQ2WMyRSotY5VK8qq4CyGabNAUiGbS+v0GAr88k3YK9VYkINtbDDBF5zka
9RkjB2zqFUUhPNrrAcba+VQ/iT5s/DWKw7V7yg3mtAUz1EEv3YjxZ5jQRjwTX3fAJdWh7O6WzAbk
FbzJlCGmRuod7n+6zZzh3+jGM5BuRpe4VUmW753TUwCDRD9n10BhnPIlVPr2hf4fe2fWHLeR7fmv
csPPDU9iywQmbvcDgFpYVVxEUqSkFwQl0tj3HZ9+fqV2Wybblvo65mUiJuQIh0RWFQpL5jn/7Uga
n0Bv3TrFjEoDVlwN4IeZj7+i7waPLBbdOApp2DSXdq+V+wSdxfh5Mha3C0Ipw343sV5PQWvXdbbJ
TdNpAoOJNH3mNW2xxFu6wdw9hhbxa4gv8/N4MKalVUEaJ+58CHuhHB+fSOTaAUkMggcqCQv4bKjQ
KjrIcTZXapa+tvaABBVsfUNt54HD6pmHYXRNg4bbIN9a86A3Lyqxs1yjd9Ct3mTeLSEmv9RZkePn
ymDIejbTgjrR8rW8dXfSqI1lvsh0x3QeyIwu+tNEaz/XfPHESi1qkNmsrm2V5POjxrdxNS/We7Ma
tuc0axrS0VlH62o4d9DHUKuymeILvSwBU0sYRddLoXc0K+1gSh5wKwOzUj5ci023KrrCLb8kC901
2r5FFeKl7UetoRhQNg1T1eNtHJlWU7WHzq0G59pm8YgoFZ10fc5i2IhPaTpV2daKrFKbOLu1WTKL
WbbJO4tyn2fZcJVlb2tKo+Ylri17crxed0lrnpQ1OPc6+FzC+Bfw//6z21pD9lBrQ6XdVBGEz7vx
3KiSWLA4ueGrsSHXGNtc3eYXcQHvxU1i1ea2VTQ+csMcxaE54gCM7Mlf4ZAqOt2kVYkKhC175zjV
MEknqmtHniiLrO6uzNOsPajInKoLbWAw+ydTiFD48lyzbYeq0AYvV8aknSpBOtU7beiGhDWOGHrf
pTIuN8tQOO1V0vUYXQpbqPF+zZE0+o7oIHkSMy+JmGkjrf/iyK4O782pY/EvmW+QjutBWxnfTclK
rmF+MdWRuVBPMeLa19XcD/ulKl1z34KyT7s8k6t4AFW07UOSwQT6tSgQAGzwE4vWCbg3V7CtM6Km
bZvWMAbflEWqeTxzl7LuFguu0SYeYyt0pNXNNtF0+B5ZQvEsXs6INcdbmrm2gzZWtrXv58Fd97U1
a6Ik0s2YBhdML2JWWjW4enqy9bbrHuyOVPUXFVlDcaKwTdQ2t+PBvZsmqJkgj5w0wp2IIO0mKctc
HsMoL7O7yeHEHBfDybqDGBipczlyrAYTzZfVvkkHVUSHOW3d7D2NXhKOvhiolpsgrZwC2Noioy0R
/sDDXGs+2R9yqQN4QOW42ww54DnCWH0kwVB0uu+6BGAWmwIqqBsuKMBaTmyv0rq9YZ8uAZ4R40Cl
Ubu5y53Jacdc5dpxtr6HPQnn7ciTvHXXVZ1ooqV2NLTQpbCTgvQ640zjOcZOpFLWuyxVjX1a8wrn
tW4sVf9xSgaX0IpsIDpk20f1vMSePklbwXEaiK5E0zmjLwE2uk/FSGT9TUXsQmdsz1GvOpjGbDPc
3WlXd0x9t5imLFiK9jxRru/kld2GVnlh4eSd9k1ZD2YQjUtdnoyOnBogUgHfWi2tGrYJIL7uaZ2u
a1s4yj4JcidyaTvrpqupkMwiMZ9mxRT5Y7hG6XxLJIPVg73HYbs+m6VtRp/rrBL5hTCxOl4IUN/m
ktSAtr/PiaSmtiltaz7pltYtvyyNndanZYm0DoBvNhx/dSlHPPDlAW4l6TrEfk1vXQ6i6Ca/Xxgc
etFyCGkwrIaR+WjjJZy5ZZ3ltaOzdVE2X+Ujk4HfiymLusu2X/XyoBh7t56vtgrxOrj9wmT4Tlnp
Z2A+zQxS29HqjrBW+hm/K7nbiw2VdcYGyUJ6bvOntp6uXa0dTX/RNL3lYXGaFrtEbZ/PoFsDV1FJ
tLZ73akx14gbSFTyPJz3x2c1EJ+Al9yOLprKXXRPsN7ld2bbGj3PXmQXTe/VToerGoiJQVEqFokI
TMPWkNeYURNeGbHqpy3LKFmIY14m40ufzvV8qlZV2I/tPEiL5qVJh8OyqHV+dFRRj9fnDEdz3xVD
6BWE3TQe1Wh0BsvreWTPhcC8cZbFVYcuxmlwBVFSYHinNl6BtpoM1MpmcKVl908YVxvHw1hkTJtZ
1hmoXdvEt8gkdCqikaHMtynKRvZFZmyQ3eiOTug+qFq4KM1LAZ817sqwbareS/D7WV7loCMwfbjv
dngBSIoAbwFsRP8EWrEmmid7ytfUs1llezDEvMLt4RFST9+5nbGHMhyonC0Zf8RhvQytN0wMsWl2
xdjbSepPDfnh1KFCzrYetGaMlCP4W9f2xPNqtrODqTJ7X6AI6jzN6ZvQJyjZfG/yau04TnFUX7jx
GfuNaL/n+rxmWuF1ZXTtBrRgHRBZa6F28bdwmMW8dFa+J6h7ngMh02rw1iW2ryGsyiGQIebvv6Zg
epssJBerLKqyyzfC/ZBa93Lc/jUN0Flg9ztNqp2bI3QN72smtw6gRWL/RQvN26FzFWmNbpgotWWb
FIBI7iguO1br7gce3j8JrIIyeH3oQGFGjyINZkLj+WviKumPxaRVZCB2bQ3gZIwpYwGU2xg3cwd0
S4OVasKvtJnr9P3Td1YV/ZHa6I2wLIKimROtVduKaaZ5kGBquUQ82PjUa9CPcHHOD5IG/kxM9UZn
1jYdt5ppyi2BAI2665cqHII6os4NJnYm0kmJf8ipSuel/MEZ/hOR5dt0ohR9GLuJYW+lw0yOntiZ
TQPW/IMv9Gfv/kZ9VjPRr1Oxa6McKT5nrf4wOXX414Sz4o08lDK9KeootLcLYz+8uF0ukiE3/+Kb
v1GY9brel9Ug7S0Y9AYiNfFCHeTx+zfUn52VN/LQcB6T3nYTuY2E1rGnj6Gnx+z+f+3d3zztRlab
qIM4L8ZakM3bu0yZXKu777/5n9yhb6OJZKsXUz2n3C6xco3nDkxp8oVcDOYKOUZRe/WAGnuPycmu
/9J4PvNtTFHsRJMis8XeMg7VfrSatrtKdeDV73+hr4vrHzzdb0OKVLqYwEKRtS0cNwaBdstlglzh
z8ui9/LBovLmX0pLL+UuqdP7dE3ude40ex92yRDTq0TxhumMz/NoMrrZ6xUl2T+P7n99mf939FLd
/PM4un/8N3//UtU0+1Hcv/nrP+6rgv/++/ya337n9Sv+sXuprp6Kl+7tL716De/76+cGT/3Tq79s
qMv75d3w0i63L92Q91/fnyM8/+Z/+sP/evn6LvdL/fL3n56ei6QMaHra5Ev/068/unj++0+GZZ8z
cn4bKXv+hF9/fP4Kf//p+hmV+9MfvOTlqev//pOjfrakEJblSOGQoXQ2F00vX3+i/2wJ/ti6gHwQ
EPU//VfJ0NOYDzV+tpVtu65UwkLfeBaUdtVw/pGufnZQfUteQ9NpmrhN//XlX12eb5frv8qhuKmS
su/+/pP66qz9djspRqfYDq06LQd57kK+3biYENbQW5FUXedVo/lVYeclFK0mLmPVcr+ozt0ORC5s
3MKOi42RF+GJuzrfhvncIHdK9U0I4x8Go5lA4YZ1NHiG0aPcdMKJeURGieBqhqtWnlv18ybqe0f3
y2RqD9yvzYeVTT4A18kxeObxvsjSdj9QPG3Gboj3TROV14lFqLvXRP3oBrZpDa1fZMYYe9ViETRj
WG1bXhhObh2TOQldb6gRhJNfo10i54BsxXGVoAhwZ+0lpP4DN5h093Pito4vxORcVnaaHOgQBbxd
tlYniEX52AnHmDc6c33ohWpSjb02aUeAFhPJ5ZiW6QM6qI/TKpLLpE3u6TlW346K8cJOZft0Zu+O
lkFhGra9vJOrlV+KJDV286h1G1LMYy9ZyviCxC5wl1Fc9FrLWPmqXDcup26D7jf2tQbtlSjj6ZaU
xd7PXOeSeaL50aAZguPKng0yxbxBVslt6NjpRQnqvLHVuHya10qeYnsVKzP9tBI7HhqiHCmQaR6y
KqFZ7xBhstwiX5gxdtrOUeujpPY4aVbi5bkO0F/PU1qgk1TOez1axQ082nwLfpO7Fw7VDqHmKdqb
zJyX1nMKo3uqFBbAi2mshiMMitF6As34Nf0vsowC4nBEHJyqGkwDGQvC4po8Xg1IJUf8Ebk33RgZ
ENW9smB5qDAP3dylfljn+MBF6DSAxBitkq20OhNoPEuvaI+Nq2TU0k8aEbzbsJvKXZlqAJdVPua3
wGPO+7rvgMR7Z0bVUIzXva5yLqU7dotnQSH3nkFA8J2jMw3Co50zHgd7kg9VrRNMVEPTvXORsF0j
XRyLgOa12g+2yveFi1XTR/y2PPbCiD43lPrvuiQ2NyZTa5tNmtBKnia+0rgdSO/e2Evehn4pZXJL
dqBDN5+JPU3RvC1sdHd+mI3VvqlVdYm6st9G453BEGPfRsShtPihmhqksaTtXUE4Nhd6p9KPs2qG
Gwjb0betuGF3Lq/7Wb8yl0UPMlK43pF9bl4yoYZThorXZ0dsLt3cJskwt22EcMMyx7upbVG1LaWG
AK1GOrNuBqbBrr5Wz3ZgaWJ6UWn4sUfQcEobs7ycGne+iGqYCQh21ewBSqxTtRBnVa6dQ5GAYeWa
pAqt9coxLI8DBWm4NSY9UX5LUv67Msm7Bz1rY2iIOFeXHTrRD7NBRwGkWoOAKqeSR7umoblAFw8A
UiKxTjZiNJ3lk0WelHnXOc0UdHZZPefuVMnorN6R9cnh3ndbJpIOif6oRQQWXMSpsjGeRKMD0WBa
mfhiyjB0T2VFTxfYi5lwKVAdetOgnOKQaLy9L/RxeR87Qg9sInkfdYMpQgcq+mYHvZClPsKCId0m
A8u0xxItso2yh/wxSeZpN7itZjPsUj6gfZ1Outl3VwQql+9zmA/Hj9CCI73IZ/GsFHmv3RzChxrg
kWOshduxT0OJvn41r3FBLJ/LLtQ/0s/lvmp7e8/ggpEVto62TtrX91MC4OLnYoV38nOrqZ6jsa/e
rZYMX1JQjX2mhvWZaSfjpjQEb6yjnI3Am1dr3pHjYnf3IGoWgnTVORFarsqZbxc49HGjum5GF9fw
qxdRihaiZ4zxtElSELF9aMzEnRQDcwYuywL75kUxmEOBTzGZBk+HCLwHljEKz4zPgLLFMKkYpZnV
yh1q8Wj0UcRml7NdaWwvEQJ3PR7LcywifXUdkmPuVqtPuiOXMo+u867ITy1cjK9Z8zx70Mkr7A03
YDF19QErOa3z4Mppt8xzcQmfPr0nFDU69ZUrz0YSo/40oICSPjkbzNnsgKrtQA0N0iJNc9Ytwg/T
xYxHFNo+i0D9/TApli/CalL0M9nifo4bDZlynSZT6dUqJhFhgRMHCleraWzgKpbFtxLbWrwsrvLb
TqnO2ICfq/gYSjNOAskcUZcdrCqTa1WJ9ojPGPwWi54FhmpY02VuVcgobMlT0GnFsVryZD+FruN6
WjrPPs08+oAp7m8VoffbLm/FU9Ovt9aoHNND8jzciTkDtwPA0kTQpy3DhItyVJDOayaf2mgROdKl
WT62gz24viXrNNpDBYzxZmjkKr0uBhhkzU6BI5ZpeYlIhnhv6/1017tnSgqLW38nTeEeaXYR62qG
dat3jfWodW5xZMG2Dp2tVZ6dIoaepuVyJU1m9gcZT55jZ6fVXQ/MmnMnDwZofS5yBFxsONYCgLwi
E71KYvgWv+BS0kA3Rbtsu3bSyp2VW+YvFE4LSkINXeg7MxLxezsGLODdhXPMED1EOwRM5vt0Tlnv
lJB9fQDi6ttNC6Z1rWGKCD0yY9zHOneLvV6mYMuZJRpzb2v6GPohrOAcwEwD7hRFm9kBQRNcaBiN
tLju5jHuN87Y5R+bMBPXLXqVBZXPIEe/HZeSGsIFnBEqHz7CrCAUMuBjqygEWYoiu7vrVkt7chyT
2ab20KlkM0QRC40oYsuPc+Pco+cWiX1F2xzCWBPdXtYCLS3kYvfS5bEwGeM0RWQ5Oa6l9hX5lmff
hIn+w9GaBGWciFmwifPQOj/ti+kSxWC9QuT1cvIiZrM80/bYKBzLsQJla8zat6bmC1EJ+b5uVrwm
1riiE59D1LwouezOZ2daN2SlpFQOqYg+YmNvT7ZIx0ctyUG9IIvTy1Gv3jtY3A1kV0mkbxSxU8ei
7dJNWozpEMRF+SwsI2QrC9sPa4ljpG0yrvk4yOFqzmq6vlgUvRfCA7GmpBWiW+lky5YhJ81NmqDg
9bSw13SEmmmMnrlpho9fM9mQ1Lm6vgWwmz4scWHkXoaxM9pojhUdNcuJ3uMmil/oHkweaURyFTxA
teo+kB23Hmk2TbCiRWtYlYfOIGnTkr7STekGIcCrPw5D+DA2LRoik2GArewNrwa/RyO+rBugtR0F
6R5Dv0RliG11a6HOgEVZsZdkc18dTGeqvKkorY0A442DpMi6xylB/W5F/eyz77OeZNyVh8gxw33P
fJZTNUbTPc6TCVsLwxxM3Zo/uo3Mc79rRfM5agsHiU0cm1/mAsNmOG5CzGQf41C+jEl4ljCKiK7W
GOGkiaaCOF0c7EVDJStGmJFU42VJvO4W0GTsE0gtP+gWu9Ejpiet8NbZtG9M+OmLNenSdmO2ed7s
I6b8EBXnDkbDQltmn+vIJtNzZYEA7qlQM0gn1iAFKrfet2wX5K2CuM9JXt9WbjI9hP3cePaUG9Ou
gzMdtLg8joaKAa/7NEab0RXOjFKiNAvcW+5072R52aKR4KBNRjt9VjpFgpFklh0UY6a9tJZWUHUa
kveenfYdK5Aw/EGYdcNNUHU3op7ckyX0SAvQwLk3WVq2d0LHQ7ALZZaDgi9l8wlvAsHoXZ2WekCB
tnx0nLn+MkSKp0P1ZeMeefAoDJMyrp5cOXT3tj6ap8EyjZti1rv3UKBZvTFraDfPjOTCPhvh1RkT
zd1ZcNV77h4EzQUI7rPVLy5o4Jq4R2lCF7HUKhzaaTuhARaLWY5B2vVMwCH/dZ/nhYWAr1PRB0Mh
t1y4VWCTh5wL2DNVpfcp2fQnF330AT46upyMokIa6ZxLsLFntkhe4L+nODDJUaMm7AhVWroTCZzt
6jVwLtgqjFC4u7i0ihcWifQpnSZ1iU4+NYNlbsoN50xUkLXJ7I+9zjjTOSlhLTA7I/9JxyMPq+Vj
DNT8sTb1g24ms+eYGcppe5g2rKplECvN0INEuQDtukxNJI3rEr1Po9x9jjARcNFjmX2eBzs9tbXt
Gp5CwlV45/mvn80hqQMMAohctMzY1gt942SV9aYy5mMbYuho1izduGaM8CRdy5uKobeGjyYZeWqH
cchDYXYxtcyng1ZpntxcKOD+wf6UZPH6ec4bph7XzhJdLm6Zfq6NqgzWOY/u8LdmH4ywEHcJcz+Z
pMkecjXWdTjtDL3sel8qo898HiwBRSawG/SY+I8Gj8VmLqb+zE/sJwgNvyzvsOXkhhfzvd+5jPfy
K6s2x2BQrjouETIaf0Dd8dDFZryfV4qLoJU50s+27OJnaTLdzalCh/nspNWXyBWirV2U8TEiHP9G
6mF8kXMB7l17zO9YL5pTZPI1qIwg+kfobq+f2HCXdRnvoYQPkgsa0n59VCmr7exa0V2DKeF38Mev
GMMrTOEV/Ayi4ErXdG0lXSFcJd+m1jkmJ9ZkgtUOHDV9V09rfwXTqQdriYoxIV+R5Mb5R7kBZ4D2
FYzhKoHLD77U4ezrb2MbjETH56myeQdlkp+oMvqbCOlSYIo0vq/XFkJxWc52tal5+f7XfY22n78u
5QSlviBrUblMnOTIfkda1LY9KXxb665xEJ54Duobb65gXRHDoGnI3bB8/vqJ/7dBtsvkS1t11S/9
W5TtFTD3/xAUp0vLBT37cyju+NI+5a+guF9f8k8oTqmfyYx2XFcXjsNtcvaw/xOKU9bPFF+Ow4Vk
dollKpDuX6E43fhZCUdXlFUmoiBcpL9Bcc7PgINC5/0M3otlWP5PoDjj60jX39/D3D3S1lk0gAsl
7Anf9fd3EiYGbaKEyTbn9CrJYJvJY9/OEz8GGzyVKaaCUAwG28da7UVh9hcVlSoxHIVbX8aZ1j9a
kwWKhRkl/SDxANKIirK6wJqBBch1MkfBTPUlJdPoXMM5ss+PUjKUubWb6ou12sOxg6JqD4OQoGwD
HstxGzG0HE/SykK96TXS4rBo1ekcpKCJlHdnPxLPADmgIyH9gWOyoXl9bgJJLOM8l8dJy9R7gT47
25Q63jpgqfC4dk07HJxYyMdmnYxHEqmce9TS03W19nVM0EUH81qK6DDqjkTQnMUdqgJm5hwYh7de
dSV2ei/XRNJ7I63HeDDaMBabqQ1bljmqmztRToO9zTI3wUm8rI30MloaJukieSkDC0dreB0rmLKN
zegSHMuFJekOmymfruVYqO5kSAvtkxFabe7XVWYpL0bbhMxYRa3wk7Sof8FvWZ2MgQECG0HqKkhI
Kux9FXem5UtslbFnTelyN61GcW7T8Khs+37OewDQPnUDhrQigIP7z75kGraWiwXAHgd+R/TnWQHr
fBDUYdcZ+o09V8a6F9jf9ksYLldhtbg3BsNAILJBbOYNmsXqvWGyayJtZYY147ra7FC3cNS+Nbbz
g6gzBSgk5BcxE9O3oQC3AfiGmVPjRM5akAYs881gd8YjEMrw6ERI+bZTbuEgdkQhBoAC1RzTYijv
rPisFUhxj4Ab9bo2XVhzj443LOD1wU5mJ7B7MRabYTDN2xQT9Z7g2+QdcFFfeSNBMl8AV3EYYRNb
cMy7xnSV5mN8dPGFgvTp8sUq4y7ywtWm9Q9Hd+YUhCu+CQC/JQBxM0K20Unn93T5qVFAEF4BzJ35
E9qNGXOrVVvbSRirvV9mbQ1R9CehCFAorGzA44DehuRDYEpTdofOWecssGpGC6OoqBPbE3U7/CL1
dSbyYrXLEG1pfcYJ6mwaPcNphm0IdpJuBaa7dwUyLcCLJZu22cwX86bYbXVwtYUAkcjo21OTy+x5
SNDCXzgFxC+Z5EMbyDytSgmJHzs4jZiWd+e6hA10YIRoDjDR4KnxOqtNH+rVJWkOj2c5tJNCCSfd
+ohTG7xbyX2+MBhsLzqRPuB6FzsLDGmjiF4/AZKiW4oR8zSzETYks01qOlc8vf5Ob5PqoZ1MVBKd
udftcRp8lxEb6cFyi/IuitNNn3fLyMRZvcM53nKngJvZl2JwsHP0TikmPgCYB4RWS2rcAsV6MkZ9
dP0Ms+lwIHIhWx4YTwe10CzLKCKK0bNQbcS72qLdGFPqtCLNks8hZu7baSjl5yyfGprpiJyhi2nB
HHqd4GNj0iaPzLB17VrSdzjRrC2e6/amc4EIe1gRHw/LeqlpWvrQLwCstG0AddthtpYJ/UZsDGpP
284y74UEC2hehCZtS2XYPFVzfSwZLEBeGGUuNhFP8CT5CPOYl2LbfFvvb3btLmKoh2aTFXN90xlj
j867zrb/f3P/T3g2dlhJUffnm/vpiRnVT8/Ty0v9e7Lt19f9usNbP+sGWhrKThNSC0XLbzu88TO+
YQFtBt/1Kw33rx1eZ4eHa3Mp4BhULc+pi7+SbezwUtcNfuLSZsHj/Y/Itq8BXN82+HNVTImvFH2m
NICP387esH/L0JFTcUBftnMnvOBR0X7qO1B4S4kgk2ACaTuQpBqB/yvxQGsvTlU3fsCd/HGo2ys6
uGU3xyOawKa/SaMS/6fUk6BiGwqaurP81s4/9E4HYuhmH7D483wvB9OVpMwMQBRIzXy8BT+IeHpd
B3/9cvBHlC8QiTQyb3MOv8UazUXK+Nxhm4W//GfpRm8/yeJK2sQsgO64umW9nRwTaa2uxnPKEX4Z
LyGn5Zx0tPRVoNdR8Ltb7A96ma9Jgd8uGdW9JZWln/9HTKmFZvt1TfZtZkcpxy+ozpWvivIRvzdr
F87+cCQ+JZdjFohG1oEahw6VAR2Aipp4FzKnZL8yD9xK1Ed+6575WpeabawB8XUfIm06VlI9GXFg
saYFuGw+tzMJxbUZk/NbNrihImgUO5m2oSkOwI3dhdnFnd+PGPQsFI1ElSxPclw/Nk3yyQTI9vJM
2D/QZ3wVR705B45rC5sC16ZAfRtY9S0pnFkoO9w/nl4A/9Rxv62rcOdWH+pCPmnoQoxziEMSJh5s
2XOuxT/otL5+0OsDAegxDVNRIBuOo78ROL2JoNYZSUK3rz44UdcGs55/IXLoaAHaE/RwbIf1vrKX
d2MIzWLWOM8xOLwzh/YOx2Mw283OitTTmkafikXf/jjJ2jj3fb8/WDpfh0UIZS8h7WgI3sh+vs1m
EmLF2goeqMR0D9l712jysu6T+26AAnDlfp0RbDTiQYvJtgFc8mLa4xaR/khgqOp17NF57MdS3k/n
lPbv3+H/dnXPHbrtEB50dirbrHSv7/Bv4wjGJL+rnbRhfjS+Jyrb6+ncEIQktzEMTniWJOKB6IBP
Y7PeoendDJRn3z+Y12od+ufXx+K86aWF/NcEgLCMvZm4m8zVKS3gkFAsdz/8uK9r0ptr5CLOQJ3B
lVLGv2lqfhv4YPaUvwPJ4DjnWnKYJu4K606PcgNjUFEFI2ZLvHYquZHxckGT9UktJm6xNOw2ETyY
V7rlh3Cw4eUJpEu7+zXJsyOa4NwfQnfehnbyDoxygJmB0THXk9N31j6V4ezVetlAIhg4aSp9M0XD
kQ429bUSf6ZlNae80aJtCDzp1W7X7Rkntmwqxs56dgFWTtiBuSEc9+b7F+L1EvvPCyENISV7la6s
t2o7sjd+Ny9htaJtWl/NqRNkxQ/Cvf/gMQE+MdkUHYsP+rcY62/zecxUHZMxeyltsCs8NB0SbBMB
bxc/pvN0ZzXrBY7MW3MxPoYOcSAknX1qsXyVdvccqdUrRbbHf3jf9+hNqnz3/RNi/fut+fo43zTn
36a0hKs8Lfq07TKV+iItPjCpVHiKCelBXBO6FWsxiVm4kTAJLhhTmw/RWtBeTqt2hXZB28wzrJOZ
JuMl0GQRpGgZ9nbphLuokdaB1IXsYQBW9+umvxormg2rHjqaLFyhmoENu3T5YKwxS4DtFOd/Yxme
Ni29BxFUAI72ww7Tz+Pcp0/hWec119PyabGHB2N1JAhnPBLDNuYEukTtNhya6FjKat1mcf7w/XP2
7zcR1Y5tUfWwTYMIvnmas96l3DAZRhDZ4VVfZSyCyN1NtQtrY/v9j9L/6LOoOXAng9/ooCivV7Fv
cxVGYzUPw7A+rkltHut2iR5ich+8vGkAFJbLLvolUsnkV9jbsfqwwU591Qbroksuit3e6O7yg4M7
f/brVUah0+KpBRjlaXpb9uXpiL/OgTJPi/ywRNvzkJC1ef+DM3Bep998igPeagg0XgpE6s0Z+Dbe
J9XJIiHFbb/YSRaENl64JD6DCsPtFNX1U97Y79NpeWd3JpZ/Un6URRQ7s45r3GdJCfc/3zitHZ9y
DTlGG2IG/f6h/tGRkonApshtYYCfvb5WfUqU6Wwz1oRkGlYVwpPHFEdsDO4TwUd6SDa3qO2PjvGj
+etvUWKlSHqSjpQk0QgaN7C83yNs38ZMFLV6QJ7GEoOYjDmSZmncjstwjir+wZb2dVTxq+vCZ4IP
Axa57LBgPq8/89t0CLcJd/TzGMySej7U4I0IpCnti+ELroD3TWw9pYl8MlYjho7+jFIx8mOtqq6c
ufwlVeaFXilQp/vvX4yv+PSr44P3xa1NgcssGYfK/fXxfRuzQFbr2ce/C+1wG0KzegRiSiIR1vyI
82I3zcYvqR0fhlV+6qp23vYy/Ng2K0kb0roFifoljaG6ZoF6iQZay5KbSWa7OmZohV0lWFOqLxjZ
nY0aou2I4fyi4scoIKZDikrdK+YO3mlotpndvSyFuB8Wi2QMnLdLuR3bs2MPBcpottkPrpA6l41v
zoCkbYE7gLTQ3bf17bc5EN2o7gkqe7c61R6iXPPqGukN4fPtpiMZpp6j3NdD/qUiZgQlbbfpo+62
b6dbEBo2Aw3fECQlZqCWDV4JdHHig2owBhVuN3nYs09R1/dEZrJ4N/hH2knqniqyE3a0KUjC8Mmx
oW9k5NyNpvuRyQ6XemQGWW5ctCm7QbqUwYRXEbHM+oyxsUY52Vy1QxKMHKguimtc+qc5TU9ZntmE
U9pPY98HxKYwuLacdn2PvUpj6Bs9yGZ2M+UhFl63VomMZTaRSGlCR2aiR15fzMGiZ/M2tjrfnKXm
8aODYf8f7s6sR25j29J/5Tz1Gw1OwQH9lmTOWVmjqkp6CZSkEuchOJO//n60fXxk2cfGAW534zZg
2AKsqsxkkhE79l7rW/WXsYluq/zVXXxI0O9/fTP+YZP1LMplHk2Odrpl/7gy/CvpxAKesByEe1hl
cZgt/wll/e+eofwPmo64Po3Ktbz69y2UffW74chvP/Fb88RkAAH3EUmjQzuGdfnX8Yj1k4OwlimH
adP4okvyr/GIQI7MDMw3XHyxBA79azxirEMV1njSNijt6O54/8l45McNfn1jOm0TzihMbqwfS3Uw
FUMp8nHcphFo1WmMFxapDpi3EVcb0tmnv0kKW5fl7xeFX16PFxSC8vcPU8w8strMyfVxu9gtJjo7
+jYsMB3nUfu7YAgaVH98LeFx05uoBdF9/5iNjX2DbmMcj1umjFkQFULUgYpi45iaZn2TyWi46YEc
7nN8Q2GkGv+rk1fDXVtO2REpKgIMpWXGCdkWY/2sb+2Mg1PUvNhI0MADe4irIPIYjHXM9vM8LkIG
reEiCEwnwgw3xZJPLr7A6l1DNo2YIzOesAh3JHm6iTLOnd1A4ljpREGbLJIzjGsjGYirbeuNoBno
NPXf+onzPkJNbI0lO1sl8+UOs5MDgEjN0V4NfRpkfTfcp85CRpru68NBYZ5GARP7vJUeR+QLEzpk
yWaMIInGTu5GG2ASLjLhSHP39WIBF0JWp6mg98doWhvjZrWx3KH5hm0YV3TrHN2I+8FAD7zV3PJS
zs4TDZSsDjOqjtMSacs5QYR4N035ZYrNbmtLfQjQPr9qRZwy5jDvU5vY+VK4F3ajhuEKPCdVNyqw
sF1eQJCSgtH3oM10dD+54edxqDleyYhKZFtDm7KTNrevCdM8tjQb96tKqo3jah4QP/falWmK4xHq
W5wRfWNM3VZo/hap7LzPInNtyW9aU3uAvhxC/Wk3IMHivUeZHeaFfzSVMdBat3j5pkk3CFy+lWni
bxCk8gfm/fQYqkML5zIYcrfcMInSQ8fmxU2n0MPB0+/HHpduXzU8OmX0FplkF5dRFgJW+zxKbnWj
zb0Qb/w+GfV7Am5Cb72imRUji7Ljxw6JVYBD9ivm8ouRQc+C9xqAcd3rNfAkFBN1YLbWvbQyJMuF
8TV1ih2MF+CBfbdnHP9NN5kkZqjB0JJ9G6R3hdv7jTHdpeiiU1RnRpANcjXyqscIyShSNKRMwzmW
2b6ztEucN8mWXjz33bRS3ZTEJHBJLXvUmUnK9lZ1aAm16hXyNr1OCz+qNeZn3Z/enb5Ow2wCEJxB
g8XlgOrIj/xyM3Sjj8EVMdDi4aJNfKZave1dzTmOrpacPoMEfpkQ76JxHfHnWlkSOFIjIyuCPOWS
hGbZclNprQxMl1I7k+VmcqJzhDhr7zTma4ZsMobvSzODl8tHxh3CXgntHWo3yw0QIXPMg7xR6Ly0
M5oa7NNuCDHSjwFf7H1czH4gq3HeaHnebiSKW8C/JqQw+MrMM9ynUeeTlm5xGeBTb2y9/uxHBLH/
vF/8d2+b/99JD0zELOxs/35rvevL9O3z94OJX3/k173V+YnuP1pw06Jx7TAa/25vZZdkIkEDjnYz
KNPf9lYLF5DBvMDnBEHDe+09/zqXMP2fhM1mwA9SstKlMf+TrRWz0Q8bEGehdY8xfQQN/PNj7lQU
RZmTlGa5Z2FrD42R9W9l4tSsvpa8s3KtPY9Kn8Ncs6tzOcC0Q4QUHXl+0jOCACPo0bY/e+UsvvoN
7AVlu9rOxfYUMmaYzlpWxmyjGocJIeTJLrDjYFZ9c3r7roIgZvXmvHGm4qxpOQZSH5kC1K2eBnuC
nQH5FsrUZ7Oyv0qwPtYgilPWYqk1i5z+KPL7aafq3g2AMyQo1F3jQy4SVjyg1fkJAXt5U2fzcov6
qPjSQwQI1gPi5zlBZsfrjbesJdrOtLUIz4tjR8+mPoig0QYUskyMQ5hU2ScBuBECGa8qCysqEFHm
9ddBt4YjsvvoBTzteNTKygo5YAyhKov7Osmqt2yOu1NqzAUyNG+67TUa6FUsJmvTtgj8N1k19Xdx
Pk0HDYzmuYrG/mEuWsH0umTbiQky/jAjPY+wdD/C/42ubQy5y2TssNcK9w7bxPBhZXa/K3JkXhNn
tO8LTE2QND3/LvEgawLkI3rOkckjh2zz6JvzcwqW5C4WifFoZUoce671uStkchlir3wGIKFjdNCt
zQRzOOTWCBqm/G/MZJNrHHvIuVXCZGZTje7waPtpcXXr+F3a9OIWcr+CtnfUq5PMEsH+XH9xFvlt
BmkJfMyfXmKzPmSxoENjZtukNoz7YYWLJl6a3VGs+K82LvcLZEr7bBWNdaSTk3/Ft7EyXRpUlrAh
BQxYS7uWC6SCDTY58YU5rdrXXlQc24k9MIub8VTAE7+OeakOLsrqAKgvHOZSM2/U7L4T0GiYr1bK
K6/6nkck99UpF1DoQAW5AlAbfKMlmgFsFVpdLhu+hOIucqrs6scLczvALR/MJTduyxyhTASc5IUJ
+XzNZ1+CMh/0y2yyg+P8bQLqkzGEs8DE3HBM/6YYe+qYuKrbgx5LK+zLgV1Ac77R9fOuXe92W8Vc
f+d0mH5ixI7Hjsr1ytDzQ2SDFPEzwFFJ4no7AL/uk4+CGPNekb85sUaPq02sJBCOJtGbIMhOG3Y6
tczzbik10LdzXwXarCs8CZW+tRdogREYrpvCIfXAVL27z1O9OBaLe1tOzb6wyhpLzlLfSE/aoUg9
uni4deep3i/RsIG7h/hZQnicy2A0q88invdIipMzGmEPl62e3eM6SJDuQzLMkFnbRmbvHGM1g0i4
XJ6pex8zjOIDzZ9yuDfA5T04Zf3RdorPkJ+2YmkvaF++pEPp3C00EA611tg77EySxWf9jUUD4RQf
LCqd5WFs7QfPSFDn500XKiXnx8hHJURuRrnB2KGCKSm+WqK6NskybRF1l4FBitpDBajrJYZQS1WV
Lfsmc3S8GrghKhDwZ8xu3alC1rOFoeG+d7Tzdk7lWDeI8HmYdBcbJDrXR4sG3daebJPFw5+CdhhU
UAnaq9zH0DaNeR3vLvX0EoErO1puSp4q9MMdbb3qNLlaQjjc0O6HKp2PQINRlRgtVW27RMte9nK5
86JF7FAoUwNAW9vMcp7CqOHbnoHYBWIBNWtocbfPfGJHNEldUc+9vTd7TiCMcKzPNf1BtFlZNV+6
RjeoOLrppGeVfEFSvARDldWXzh+Hk66m8lTmo3eAzlp+HkXZnUcy2gLPz/QHHnL6ddg6JeWMchKa
HqP1wUkqgP/dnEMnJ6yMygRly7WNWPi2ceJZu3TATjBJJ/o6+cUHa1RkYc3JXkPfweyyPeCDcUM2
DPE6lNp9347XOeGTg5qOh6RkTjKLiCLNSV8bElsw2XhpkM5dt4NaTSYBTLB5A2VQIF2nDQ9QlOe/
Q5Ldgkved6XQ71o3h2mNnSaGG6mVcoCb7V76VPRBbyE2ziz7nC6kXmDafSyXYTqLir0b3LndPcaa
k6zOp68ZSufDWEVGKOVwExOzkyLo45ShTTvSC8D/trq96+j6761e1ntLsIILA+vlJGm09MUyvGOr
uQew+IFQrc7fDPwCoqnq+bVOWTY2kSxguQ+OtAPcIzLQOx0InWz2MIJWX6ecPyW5Lx50Jx/O/PYg
94aDHKKPXcaqnydPqGWvZgEuWYNYg06v2CIv1zcil1pAhFR8aTQ9PU0I244u0Q14EC37RRS+9bG1
UrpRysuO7BKHspM1zGGt2c9AC0VgDAM4c+Cx9esEGY+867m7dYu5Plea271zINVAt0zrNjhjJs2K
ctcKTBXu0voPrZMwTpz6LTCi194crjItzv2YLlejiG6qJjbZZnNiFnCujBuyzCudpAkWVVRVJ6Q6
EedUqJ0TOSaTiQ4r7uCZp9a+ytN9Q1OJ02ZqwbDMiiyE3AajZ9xMk1dfTAwh+ELTd6Od4Tw4JfYe
PCtm82hFo7rU3rs7WeO3xJ3lVU2ZtxmlMM+ia7xyP4wkxYboMbu3hW3oPV10L6wnPb8zMmY+8PAm
xfYGHuupKL3uiWrf0kJ/zgozGPNE3SN86sK5xgnN2TAORVc0YpOY0JRZeoCx1XLat6okwdGcx71u
4kdYPI5h/dikwWzEzqOGXvFYAOUu0PXNMg6tuH2qY41NWnm3niZAQBWe9jwn7oJYkRIl0uv3vJ6m
pxqmd4CVwNn1ds7ubVmFf4/n+3lyhztIfwWRnfEVCfvO6T2Ytlb/anTNh2ZhyGaVmXVPv6jaMeCc
d2x7/k0pizjZ4idzX1OByKSirIhE9iWN7b1VRYelTc5gtQ5jN/YYwewyChe7iAAmWlWxjYBI5NiD
KhJVdoauDpXo72ZNfwAD+oUN7Rk/7teWw5GaRnGto0jtIsP2AydlHCzmxWDfpQqT8VaUjhvSTQAy
3Np6IJEWhtZsq6sUMUwvGcXhOLlt6Md2f410m1l6DcYdV0VaQ1rSrSeWX+8yLy2SSSByNlYCvzwa
cHItO77qVZac4V5rYTJAOVVLy9m58eZHzru0TIdR3BnQy4CCAiCngOWw3597vuhA5f2Nk7bVSYvh
ubZC5Bs0lW246gdP0ky60ODgf7C0Af5Lo72ls1MfZpXnF0wDbNFSOVsOhGgjW2cKqyUWl3aUxh3l
tzphcoWyXY3RCSjnudAm9bFPgeaic/BCk/wAzoXzCrbDZ//QIGW89aVh7GHLvXl5yfv1m5opcyE3
k+sccQfPQau6V4VrXQ2VCOHYEARfqL3TZelJ6ob2IpLCe4WFqm0TFWsfQOyHhbP6/OF19/iUBu19
0iT+z8Rw7slWiIIJ6wiuI3xgJ0dlMIkUTuGekBnIjA4XtYguMtLqO9djk4qqFbZb9i8oShTEMq/5
WCUVJmahVpObozQWHqwjzEnbHfCohnsnkUEM8BNYkq/tsNT6BBLaYl8PvfxQzrG61yPTCxU8zger
qa2rkwBSogYbHyozL1+aiPQWqxjpLAkxP5haoUNK7/KvNCzcvQKK/A1gmtxPY20HnqKCxhxqX0zD
XnCra2XxliDlvYhhgTdpYFM+V/qcPEYRVR4WLJU8t3rOlpHXEAN6GV0NsHf7yCr0q0GeA+rTiD5b
3LZHuRTGAUFy9AkYnrGRyNDCURuLr7bq/avm1eJ5BoG2wfcNgRkF0Ee/VdFDhivvsWIkcxo9AFab
1EgGLj1OIRxqyZYnJg0gg7O5lvF9m9q7hYEeBVvbPvextHFcTePVtTA+OqMqr3bbtedCF+52kfJ9
LDG+Y8qPnV2Zz5RukyV32eJ4H42pwTVbFtbDuDjtduoMdY7a1KH+dFDZdkJ84shKJHgR+e91JwlI
4gB4jGevunWiJLmSMZIchN1RkNulOlWWr7Nr2P4OuRP2HjO5y7SxxB25Bg4kvoEj28BfY/opFM/m
ttBjuCUTHaHB7YqTt2QdLh/TP4Jzty5ibLJvfFC1BXfnnjM3thsSPCq5GfP5m5DLl67ICLvQERTX
CEgxnE8GzR5jFSxFrJ95Kc+Sjg/saSpHw78xUfSSUyaGADRt8pKsyuNxyT9W5BMFSZS6N/Xa5hNL
uiuxAQeV2Y7n9ZAfb7ryXY31XiDOP1edP29lQwetnlX6HMemRqj6BLEs5pkLc1jVG0fFZdj3jXGx
KcECZZrlB6IWDNpK+vAc6YIsH6U/pnMkd7bcwfnbGyQ/nWRBS3V0QjcaWVyIH9iQnqNFxnyd5aIg
+EEuRnJ7m9rtZ25P4Gzo88h7GBChzU0bqk65nLkde98shkU3ds0ZERY3KpS8Tdekzm2fxx+XWL9G
rJ/bHPvCWhskO3Ah2naoNTqt9iwPHtPtMLOT5n6ocyj+casOQ+svW02kxYGdIj0ZBABtFDDR236Z
7X0LQAD5RnQzuBbCYKrR6JRMPak0JAy4YZzR/g6NSrYS85r5YpoUT6tbXeWrNLrKCS6rNXxYmTjE
1YXcb/wS0TBeCpZCfFPaNDwS5FV+LKTJw2ORZPClkeWibQh3nBBHxmrSA31I74vG0B4mWxRdcWzs
FV/YkRZGmSmGa1Vk5TXtUuMTO2BzrbWcY25MO5gcIUh0S2JM8Ac0/7W3FvlsGr29VcNKrO2SmfNp
UZK4UDaZsXcKv9u7deSA86BJPHdOfxRzJR6sybb3/WA2X5wmxVLpxH3yscK8jMWzWLAn1jyMA4sn
lwYoLHmax443eUAyj43WsbMgqVb2r9nYr5ylx+ehT4rHTo32NQPCv4+Nslo2jt7cWnyn92Zh8mYW
r3uOzPG9zlNzy0koOcVkKt3OBn/qJ4lB3LIG+gZidcxjNbxltzW2hT0AL5RxsZln7aKlxEhkOeog
l8KCDDtFOBgdcVRJ5DhQpqc8tnrtu49uPmkAZMhZoUlS3OAl2IKagL8SCVasgXAgZx6yk99YpBB3
1RMK8TdAhzfLDIAvHZOvWWanR1c1N8QN4ZvGn1gTNPPScvjxeIZdy5hven/+VKlSOyUMou//j/Q9
/weNCw16jn/Z0Ty9FUX/j//1VtT/+x/ntzYukub79uavP/9be9P11oEtF9q2xc/4u99Gh6zhdBRR
T/GfdQj4T2eVJX4i+EogvEN5wOxrnTf+2t+k82m6jol6EoWI7ji28Z/0N23n98M8PKa0Vl2anD+I
tkqzj4y+x5tXyEbfaBrZmLjNqQR5xIZrbWdOtfWlVMBPNSaKm3V0ttU5ZpznaZDHaq0+59hlfLY6
Frnt3DCP++mQr5Ws1kmK2pq1ttr1GIND2fI8jJKjOXjJ+Uh0k0WpG88vk5+3e5c1ZdsqPT7g2lK3
Bg2wlwi7EsGYVbwvkAoDlEE0yEDCP5bLiG03WSmwZdycimSAjUHu1ZvnN87ZTUw34VgExjBsK0uE
XmrDci0ylDQzoJ+qHmn6jJGVPvJAdOw1IKAuZF9pHKOhib9HLpDPQGA9f+pKrXroGFLNZ0VG5XmN
v7nU5qTtJM7T/RzbX+0UuBFN06nfaCWcmCozszEgBcmmmenIL7nIhnABtHFWqySBbNDlo5YN6RYg
IbYSmQk40vH81GdYKc9t1BJSxdisrbZ6X8BxNpxCkDxh95vYzHvGKKM8C0hBn+1sGTZdW2vMoDQD
roHCqtLqzXuVltmLK+b6JWLQdtDt2nx144xMHx1q+CkpyCFccr/vAnS2zResQfJk4Sky9+CMMn3j
x604jtTfFa2+RHvSaKZONws0eH6uz/1vrIPLIZ8W0tISTr5nXPX1m0ZPl96gjbsF6nWHWSTncLqg
odokdVxH9A8a8K/Asw7lCgaJl9X1mjsI9da/yfQez3KU9OaDY/YF3jG+hdBsrPo5S+yJHctXdfSh
tUak1MVgIvGkyCJKLdchUgDC9qLbwkEH5BcqvhOs4wHROhIOFscBApGA/MyB6uP5TkboStsmzbc2
v9K8a3iLb5wSeoNhI22EEtxtsyHVDjeRBt9fLi4e5ZJXOca2NuNXN+jZ1gQqbtrCF/mWss0no4pb
Jd7KUZkPrtPKN1/vOScLSa9dTIZJ1ZeINIz92Xd2ljLKi0w6Tj2cZO4r00TAuvi1kdAJq4mOMJfk
IbHz6Jugj8SZhxp7NpOZ2qMySkZkDdDjDebhFqgtvr/+kHqa/lUKbX5bYk6B5B94Iqw0w/qmY6Pg
kY5EpcKBUyuHH8vT13AD8NUbpI7dwL5RelaYZzi8sBESTRNOg7APvigG8ESa69l3cbLUSYhVLoKR
vSZh400Dlb/NvUY8WombcXSutYKiSLSluU0N5eUbc+r1d8jCwLi7ZG0/EHVLeA2mjBLFjBQnOOFR
C8hmTUacpi8MF2xcfpX4YpdLfkDu1j1MkagvEzVvuBjKvuOi+HZAPOz0TDBA9IYcIzkWyEKP9Qw6
vjF7MAm50/m3nHvMR84YBZ91iaFnFePA9wRTqCMPbcH+/D2vf2wWkkJiLXr0zbrnrFj778zPCcmd
OuKEfKhkn5MlHT9HMh12Dp3TK2CuEQx2q53ooRV3qQ84imGEtuY/GrP96Rfgf+daBZ7zRa8uOV9S
OBZV9IlfQtUX6zTcUvKzR9v/lJXAEvKydi4L6ODA60mrSMg5uXSzxcEBPX6KQQUStdumxNZ2smfQ
67L2JHFNygqx7RxWB5p7NEIs4iKspM5Dz12/tc415YWsCUSPTkKrsSn0ejvVnvw1b4BWF4WMgmZX
b7k6+puobf8D5yn4ysQOPVRLfj+X5RhEEyD7gRy6HczjmSkujZUnRwz+uajziU6/nXypzNg+9WKZ
tzo2tr1lT/mR7l2yFUQcBJhzs4OZaCKEKz5uhYJVxaPOqXVd08s5c6m5bUyq0WR/zKOWFMyEg8pe
jLgLM7g/V41176bQHePWb7UmjIUcQr1q2gfBOn+n6KCEZQOrCUJJxjmdiLU7RmnZE+Sg+N1wS04f
c5IN294z/fNSTBgDfT0h0liMKIMj7VT7sTjYo0mKE6GmkwrrsUhvIlGMKBiscfmMOq89pFmRPBSE
bxzHqbv3l8qH6JryzG58ktw/rjasMwEudIA4Qzv3CwFniLJppgXK1zmckT9Y3tqwP57JtIq/YQCO
HnpUGE9mveZe43z1P0cjjDcmAzaxrmbzhvPAeekRIcJ9oDz0k7k42HaHGsQv4YDT8LE5sA2je19M
lnvJm8UJwVmNl6HR7CtHKJf5QmrIUxQRYbPo0cjAC2ZcBLMJxt4asiEMmsWuluYPwm2LbULS+89n
3d/CItxhwcxiIZLoCMllGkAbPkitabrECdIHmm/aZkbNfoFdP3xEFIMF1MYbu7CL7Qe/IJebcAdI
r8j5MuRJkOxUZtVXmtZuzRKozHdrqMpr7LH8Zu1cQf8gqWmjeq/9IpEeErRamrthVNpp8Zb+nbbe
vKuMdnhsIrYhAoKgmFhu5J0iFWUEivocc0vfjG4j0h5Jr0AgsVOIXwPkE+sEzUYYADO9P+OWNc5D
oY8hvuN+XyNC3wPZZ6Uj2SEhUTDKLkRkTeRjxM6eiJ301Dqe4mp26oMcS7SybCck13Lcy6aqfRhF
s+w0snae2tQf7uK1UbYUM/s1lsCzpznXWDfKY7s216af+2x0mt0LgdERs3Sm7f/XhAnrC335jmj6
6wv/vySPWlgPKWT/vebg5b3t/rF5R6WTf1+Z//pzv1Tmvv4TfjOPO9B1sSP/LN37pTL3UO7hbKR7
4SOn49//Eh6Y7k+I1FxWBTTaputa/K9/Kg8MlAe6YVLPu+gWXPs/Uh78QdTn48VEKIFqH50Dhil0
Cd+xM9x16J57jrdv4j7bKR1zzICGLESxRehGOR+/uzx3v6j3vieTGKu++3eiPvir+DmxqXNFfD7I
718vNRm++IjoaZ200R7tU/pONjWhHQZYGUaQY1hI0ASbnr8FMWce4K8xcO6flwbZ7ziY1ge0Sd4Q
/s37+lGB7PC+cIR6NiY7ExWy+fv3ha8HzthceGDC809dyfswRqoqF+s67diTz+LLhMPCrkGoShjP
N6Lp9b8RPK5noR+vDfZN4BO4RUH6//AeMo+YsSntvX2dTDTYCQE9MUetnv76o/7JN27zUQWHPh8n
hL/+/++/cS5yGi+px6RAHEQ2vuATgHSHnALHWTv+zYX9k89Eq4pPg9mAAc+P9xc8S0PHtuTv/ZLx
B3IvUGZ9bf7Nq/z+dIloBwwfT8Tq7+CsysD6958Ji7uhRiHdPYBcPkY2Q2HO+4ehSL78xxcPy8Rq
IeHzIFL54YWEhiPq59tXos/YFFr6bUwWImWs8g4tw99grP/km/IN9LxYF23Mn/oPLzb1dlW5re3u
4WbqDBfx0EARyMJiwdQ2pc7hrz+buT7rP9x/SO+xENusCKxTP6wFCc2ABRwk7XfqH8AAlX8ZXak/
5Iy/AJ3An6qJRN3F3WgelopoRuTu8jNB2uUGFogiAsJr9uSmDKGVOdLY6BwsYHB4OWbbZbnrTLJz
Qy8ufXXs0zKh/V94xN/WSzwgZVHgXrvFCCFRkWFMOMp9w3Holy4SW8ef05Z/Nqj++BkRV6Ozwof+
x/txhJs7MjRx9xEBgUeS27zjPAg9cAfxgaT5XY2fkG5h9M2F0L21zcx8GiPb+5tL/Wf3KxlGJgRp
VxfWj2qvJgXWKGTu7/O8t4+EwV1LarkN2Aon+Osv9Y+vBAOK/cMEriO41j98pzh62pFikegzlBfB
1HvMc6riE6hJc/vXr8Sd+ccb1qf3bKwCddsCAPDD0qIKw9Jcs3X3tj+Y22zQkkPDin+HzXF6cDRu
BFN1T1E2Fdu0J8ElxErJ1ButybgKscaD35IMPNOr6iEjC+eRHpF4E4PyDqMD7TmwVD8/+m1nX7pu
qM4ZLbN92TCHwsPJ6XqXYzDhAG4oQrTd/qj7M1qV2HZ2foO6V1OtCptGmVtLYB3nL+pQ9URUCbkf
OxMKYWHImz5OxS0WyIn5Tdw6jEsnMwTymdxKvUjfGB8UEFD8cavnZB0xyWbWPij3mKnOfU1Qu92i
HU2YwWLbIHWR2pyG0QlZs7wxGF74WWeR+lkX62S/CdoCBz0atPrJNpv61ezL+s2LdG9DrEMJtWwm
j6SsxnaLGwYio1/mh0Tv0kdNr9UtSBiPKGNCAcOsmZYGUb6lXkl0kTcNKTyEHpI9OEB+/uKM7VRt
pG59zLT0pSSLI4J7WDnntKMpTdf36hZxqDijWID9DuVgMMJv4EE/GIaHEsOKHe+s21Z7uxCguaEa
dRiXNxkZsh3ERSK3NjIHEE18QJ+fhiqZdFon+Xzxe58vE1Fa0eOUkYgEiY9J9rkah3dKJq7JaJWX
GCkD0oDeuKpOSi6ZZfbImu0WTVc5rPSSVJGUVbfOhjai/0zZhttSlH73wYPTR4WNhBwlixY0jrAv
anCwYSpdtmjY1xgJtbD1r/Qhhq5kb1Z9mEHVO5iR3+xKj+/bbAcuH2hw8QadcAzB49H4oh+fbG3Y
Sh9xcc5nWqj2R7BKSOE8PYtvh0gxY/WGjNfxeh1GD4sHHZvGnhtYR8XoP4+tgC1HZjIKZ11PvxBy
xGdwpeCOJ56pfcwRY7UhLNqaZlUjTwViy5xm6rclsmbk5X3C8F7vLJnuPbNOSWjL+vliZoXCp9o5
VZjkI8wfkjo3scTFbi4UOHRfzOIzPIWB1OtKIoSwG3Vs/MKFkUhY6SB1cjMXIks3ZPb6+6rSlibQ
swKGVCmvsKujg7AqAO9TafB+47Gx0Mt5HSKjwnRiDNRaAmaGuL5+MNQp9kUDEK8sHq2SJmqWzLsJ
kN6TieSb810NLpf3diCMhehA1fkHTyBwU9VUkHc9cX/kS8ZbjfMe4jGKnucBENjZmtV7ZTBLTPom
oT5V6pMvsXdSoFrqSPJSs3E0cIOQ6JEPGAtnaw2ZUKhIPWOI5mU3Xk9ofUx+1jEuG4/PinLJapPi
jfljeoU5OR48q5FfyWUVcpOBX7wfUr0Oc77iR8lI7EBrMt+O8xDvSYmxbErR5gvy1+7e9KE7+6NW
7Ju2hw5IeuqO/ry2KUxGqQMF4rQYBGMhv91OLpD8BlbjZqhPEeP1c1t5qiNbfOSg0EZeIFP5IZoH
+6waI7rVstk8033z3zCOWKgtRLfNo8gSWEGbnqq8kQdTFxWqsI5gXIG2Drwik7uMFrhTUxwXpoBQ
WA+vnocAwKvwtLDrzZuxp43XyKW86UDOE7puj0sIEtkm3IhmJQ3JPA1sELDhRMbFxhJwviwVb4fU
XR5N5bY39QIoaKIrAGFxTYKTiLqUyqa7FqM0bhlNvpIPTZJtttDdUTYmt4bTaEkU1U3kp689Bt19
1UKH8kvZBpFzJ/PiQdez/FjEhXMceytDNkkQOgO3fd572q6ynPEd2lhnkgOQMY/zes14nXxl3dh5
ezPKuA09WMrBNOrE2BKieAE4C7wTJmq+a8i5DEVejbvKJh2hNRB6pQbK6qVphgfZEmu4a8BvM6Ze
TCx62reJzn0xuuKJImnZ90gYcE/yKDuGvjcMR2zHsTJu7LJDYdxcrLTE82FodUD7HeumLN+MqmqC
mE++OiWT1Syl7I4GAEoYOpycw7FqBlY/Wlc19vKh1FFuuDKaz6ln39gV1E7f0+CPWM60G8defZI+
yl6XnmXgzMsdE0Fvl44lWGFnGp3X0o3JScijeeeCRl5TBCMJLo6+MmXVXNYfqMume7NMrANOB7kH
N49TkcXmmtCjA9au+Y8xn/djg+awwZ2RN1wNp0D50hJbOdE67ZEEuqqS+pZ2Jn0t4t0rH23f4t7l
jCVzdquleRnipv0MLossROX6TQ+3fJ48hF6Y77t2+UZ3GTw2SQib0e3f8DxVjF+BoXbe1O5Su6Hl
KnyF2zR/YO0PyUszUEjoar+kq63D8rOPpm6pE8nXiDJ7OjaIORXezChGjYuuwHA8HuOxOTeLnG5R
HT8P+HtDFCofrJy4AItN/s7RCLFuF5kSF8pg1t1IZ+TOpYsWLK6tHrFHProJo/OKeKiNTw/m0LX/
Rd15LMmOpNn5XWaPMSiHWAwXgdCptdjA8mbeC4dyOBwaT88virPoriGnjRuacddm1VWZGQG4/+Kc
7yDEuWR7Het2GE4DWbyc8oNi9Cd4KEakAgc0NAF2EsdCZtDZm0m7FUSc2r0fLrt4ZUuFZoFYjNYX
u9RaiitYohftWNz84ULKd5hDq+MKVOAlI45EJfkspt+mQlSD/AA0f2EumsM1tqkZBTowC4dsVDXo
2vPuD8N9tKsolJ48J273xl7uycpgxb0KkTSxx94ICcv4iqyCcf9amp3ku7lro8U+haJN95aKzeMq
qmzf1emPidvhll1Dtq/yWJ2DqMCXUxZDeZxHG8BnwZpjSFvYZLX90BJsmXSeJH8wGpFeYqsBuOZn
6lwInoRodu294w39ZnaLdd/MOYSYJY8rBvUDFIC57CfcC2nz7c5udZUqt+z3qucTiYOiOqQKxo8P
F3+DGOaq9If3xcwNeIn5dq6a7kfUerhutae3F2kFOzL3dvCajp1i1315QM0P+HnGUy0wdzXWqwJa
S6YgU/Vdq1J1bpB47iS2YoB3Qf3CKLa/jcOpOdhcgsdZZ2cFZ+XF1zLaKBm525b0659WTSs39wXt
4OYNiexDNm21y9lcNkGGGF9lD8B3VdLZGrJf7VolLgmwggwyxvtZmje9QA1srOFaunAg6mXaNcQ6
AcO+zOeHeWuaGeLZ2KzMM0E2VAgtu1WHN+6KF4F5av5AYc8GKSvS7bIS+bJRXoQOeyYY/MJf16Ei
v93+VgFT58npT9WwsG+SnXv0mjBDBg04O0L3cOxzsR4qiwz6ONx3jQj3S7CgGtXais5xMxcEriAl
9KrncbbqbTuUDp4SsSUTQh8o5csdoZDZLpBFepBjnB88fv7G1OK7b0X6HtYoazQ+FHtagt1arMde
ty9LD0uyA4nVW8NrVLiXweUKI8t8xL3FHS2t7wgwnuuVN7hgnrKRGyqvnTtckr+z8jfA5hGNWD5s
7Dx7RsZBbkyrzxrHYC6cG8tdEcWFQ8d42ro2PEGAqGO405MXfTckVu4zt064pRIV6fHgBW39tno/
jOKqfYS/L3HIXUmqVlebQSwWX2CXP4PiBPvUKVSZ0WuAhiiAWlfq9HNuxLUE6OsTwnqFAhJqZ2VQ
I9XyRbrxUdT18xQVH8ptT7r3q4TV1a0XlPzu7ogtUY/TbiBVatMX7HRcayi2vmB+IVv3xDoEFlBQ
PRa8VaeqkL8YO5wConmtqBWwSBzEtlBP2kKmRwgI450i5vxu0WH3uycmhqGZOJWpBeosF8F+TNFC
11P6q/RCGnPa/ee+9SEl0uTzyloi+Gavp/c1ADO0z2JvYhtcRlnZIDjBKVJKBe3O96BFygpUASmV
xRZImGE3oG5IAUJtr7BTVhr1ykXbd7AyWoRuAoIxCIsahj+4cIuSo4AcSoKawD03fN/0rWDarfAp
CrI735uw9rnmk5zxfQdHcKMCqs+6dJE7ppz5OqOg9+JHNgo3RGS+gQK7xV4DlmXme0fUaG+KsGKR
KlfNpa9e7J4UBPI6WRUW+r1wEHw5ZLlu8uZXaPlveIz7ZDXc2Yvu+NKgv2hChu4X8sRfZ4ahmwUB
6dFMmXP0V7fZ6RSLi2674isfcVRKSJwcKU1xDgnV3SxhaxHuPFHbhuZTOcN48IOAv9QuJjBO451w
kAvK2mt2q4dtN1ykd5c3M9Vd4FX7xbabvRXPqJVL+0bRs+wL+p/zpFKKo0tktmvuTU+DIXTUvktt
iYOS6XBgxPLUDhm7ZN0mYsxuI8rDu661ht3M2cEiOgU9ELslRf9M35w7pr1dXWiyJp/LvR3QHEfK
vBHsQQRN5Nl7Nzf2LktxsoZTMD+7FpzMUGlqSTPBmGjC5nvmjzqHJqy2aBNSBBKDPrrSGg7ct/at
bqV9yppSnev2CA+z2AWqcW9slLa7rBsKshEj/xWGXPAazeJ3ygp7i+puPMjKs99IEOqPyimsJ61H
84vo6uweMXhws+TQ4QvPsw66l+NhrmeJyDvubsXAPon1udqGUoYbuyVEGeUhSSHUfV34gqA4sYas
9/a2k/MYdsz4ksrr0J4OkpB4ck7sDaLyj6WlVMyYeH2jYVaIbp0lkYZSqKdFPsSF8JhVsyMrC3s4
Bq0S20IFAajXfvlAWLelYQrYs6ppT5rwcErRx++mQpA3Dpz1PrcFETZ+qc9hKMet6oIHySAqGWu+
cfTd8dEdhbOfmaWUaK+GA6LG/MafjTnB+NupeJr3MS86vVRtrpDijsQdGepK4dU38SVzmZAYnCil
M7GNh1Cu19EchtkNDnXVC/ZP5bIbAPoeVuHiWCin6JxGccrMhf09Htz5ngbsaepcj41x4STB3GMW
8aZ3kmU+VbhWN+0s07cqX39ox81jPLWoz9hKg28h7XpPuNB4RYTGi+uKN35sd1YmPklWpLtOUg53
RI4kJmXk5s5djoWsNfLWtS1mQ8rAxKkHm1lQbTlMHfMgySI8ZORW6L2QTZrtafr8tyEzzpZHUL9h
Ms7O2Hz7TaTwu5D8SW+1FIF6YFahXrQ1xYmJpf4qSuk9Eh1u37tt6+0kNDtcj2tu7ks3/tXi7n5k
HocczvJ6gtz1Jd0BcFyP5ooB0xASYKXMX8FFuyDG+D/OipFomwa71mrqg0WoQqI7jOjQGfPzIpeV
xsw04YZwqwlE4vqJNco+Ztja3iX8lk1VFIYJR/ArnBtkGyJeEP2RD0T0tb6rvLTBh73k18FIpxXF
XnHi8XuAI4Mc0aisPZIgJK+zkbTwtWnyK3cEIIfxgonqVTUPVbjxB298WArb/xkLRCNEh5cLXgrE
GYkXrOE7GHiyk/wpnMXODDL/0/CQhQSjLmQxy6xfntc6DkP0L2RI7dBz9j7cZlO9E0c97KxlotNb
+/WZBC7/gMyD23EpfXwm4qkIBs7M2JTfddrKfRE5F6HgnO1sFXQJ9lHxkpbqquzH26h2zLliqYqu
ibuDd7VaUSPVMcIsSJcbH98KyiTVouklPOyVH2RekAo377g7vTunqW/xqpT7QmnytmXs7Ctnkhxz
Ua8+dKO9cy9qxDF+2CxbjIIpoN10fJlgUj+V6dg+5/hukETG0Kst3ybxDa7tYoFiTrpKV0dHx2AB
+zAftu0KfGzTLw5nYm1z/1pNFZHaEdcgDMKLPj9sWn/jS3ReVT+k+zbMmKUvLeypsuQy2ITkJxME
3nbVHjGc/gpQkLC1nsLyOeT8uR3qiNBFJcgCSWkmDwMfdXTN/S3Lfe6ax1R0nF7lI0Ch+hCPEhEZ
80vIdDYRFBg5/MwRQOL4fUjBDpCt4tOMW2AO6YQXLuXgZY+wt8QEPrPETRuO2Vbn+PShMiexRfo2
AAWBAiNuyxuRFcR5tN1r2CLpRA/sWTQIOvgKaKWOJDu7iTGg0qeYWGvCLIdHWsqU978uDjVOrR0q
UX6rXr5PC7efK6AnW05pHxh9/Kyd65/UPK4bdBmvw0LWIIaVA5NaQr2iFNmKq7odvm0bTQoq4yoP
faxQhOktsmzJdskfA0wLu2Ycz6lvz1bC0+JsA6bCO6Y6ww0iFvfX3IQQMeqirh1q8CU8IHIeBaNQ
3V/5IZjXEBhYw+FlRz9kasSHYXH1G+MP/aCirn/Mpqh/J/OguOOTpy9mdLd3RhPeUctNSdBm0b7m
7dvao/u7l5k5xqsz3wncgkQHxlX6ixksFT7zcgDHXtanG58zD7NDFxKGDH3DKjGDtAiySgTH/R8i
kZwZT2y6okOeyBE81ILwk03n6fiFu3QQG+lVTLPEgq2BhoPgwxPqdsCJSG5YqUY9BokmrG96URYv
ZTCmOyJj2+suC6Ztal82LmlufS5aXzxqiKtkw399mBC34LU41Nqx7xiLhPynOwKgs46JnghDwsiQ
atVx0s6tW92R+72rsSJu2PTMiTJqi55nvEuratt3BdJHr9jRAaWJNvrPsJoX1c/xi5onxbWbQWzY
ZKqrt6GzviPQfsOxBKi9J2QEk+HW6koAarpHXr7k+TlrmAmx0DllVW69dhOQ3ThndsnYHeW1RC+N
e2tbk+SE3Y+uq81EcYTURjM7+sBiOomNmQqWiLPc1NCW7J5bcdOQ8d4x2pliXI0Rqkq/m4YM1boc
1g1bFesWt+nSkCcN43/DREM+Xeh3IBKhhroFwtU+l/opGMFTYvYJ0KvoumNLzcAjQDA/uP1955EG
ywHmBc8IR9qjKTOaSEO3AvEMrP3Z8lx07gvC1n0ZdRiOMsaa9hQG7/xd677Hi35ZVIjm1VvH3rt0
LNV9amcNg5u19X4wOVP0kmSOswGFjpswWdQv6KY4LMvxMkIuyZ/54wclQkqcKtahYIfA9ca85E3M
ZfjeI6+9ZiN1CT50wkcWn+EpcD3vxRZZpreBQH9EVe1D3QBFHn+MWEkoZKxanWxuOJtn2ya4cg0Y
2oGz590qENe0W8vxnd8EA3gvA6/wa2oX+k8ZIrnb9HFX36nWdlkxtAURmW3slz+tJexTOi8znmyR
P+U1/rFtKUnrjFhUfAKhCe+ELqpfVbiSFgaE6G6YG/99sDyCLbshq78KQcKZRiI/btQUX3I0LRqm
ZK6JaAR+Jp7iRkQ6IWfA+ep05h4n04842tHa3Jd2yjQiarvs3lp9ZrsSJIFM81e7i/s/jXKbV5ZI
6Rs2uubD4t3fWR2ffMHHWZ4CKsnjovL1LV0a+a4yl1dzydP+wzVW8MUU2P8E496R07MiIfCQ5vsd
JfzqjSHeP985a8sHAwhPdFfj7P7jruRPWcxtEgU6FVZBhIN+aZX3aolanrzZXm7MNMUfheOWiR12
DWFgUX4OGDMH7DF6DRnYpF8rQxZegKZqPxAEgd+h1qaoXiuc4BSASHvrToKLE89cXur3qIbmPlDG
PrBswCEDJJm0QiSJSP+sz5xxD9ooZBTMbmzyZqGzHsbskgPK0AYoMVuJndfo+p51GeDCOWPeJfKK
okS5tX5ausnEeOMqfKALYVSJ75Jf5vZTdfKnJTrNKayG3G/0T0GRhmvb6b02KQgMXcH959VzF082
0Xpl3dxwYER665Owfo9FyDQH2uSZ6CG3pYsmQrfAUwkAljqbsJpvpzDTAwPr6R6qYfskxrD5LdqB
8ERbled1SIM/sS+im7TX+jqDnQGe2xm9P2Lom98XrTU2tbEZPgjUjN4LY7qQLLTQBNsobwmuWCYf
+AxMhODIoxpvEYL6z51onYLsIAFPCSiO/WiZ3n/Nwrr+UZl5deD7J6qjIiEKai02YZWBo/BEW96v
w7R81V0sCexkdjpQT5EeEjJ6X48d5OmzIC2g3tMG8CEPeqTAsAK92udCtn69xZALf8LMaX5L6jzs
ccHWlTMiU9HeI036CmydCbcl84r9tLY8OsQUkoDqRlw2LsyteKMRkd6MrT+ztlKDe2sPIQM7DI1L
Ahss+xqMTktM7907IlSIPnVIUMBYm+ZR8kVFez/q/BfcbwaBZt2GP5RGELnjS6gjtHTyHau/sh71
X7mPbIxhI/A0Fx28bu5MfEgdYZFhrILP4a8ISU3JD8rHm16C/nKzxWRNZqvF1N5STnzOwuWXAZO4
YXM8zRtaa94TaiT+ApYJDp68puXKZY49s8cJP7IKpIXJppSRZS/gOi9IRRznWvSMMLkLfNAInn/J
zAyZYLubXBgWHh7/4NnpxxFV9ELG905nHiFigxM2QKxkzuisc4rvtPOrU0gYpZtUWU+EKSztHJt8
2n6bJURePZM3vRlZ3SxXZWlViY0j8510FK6PIqN5q01aX0C6pfdTIJTFD0AOB5Eai3NYxlodvHIM
kqrol31QsQTikVQnoMUsykKWafekUsAsQMvPbQI6+nstNDY37VrmjTjMejuNVBON1H+8ETOTwPp3
LlBb3U+rB6KbP7s740ozN8syWFt2tfT4C+jHADm3xbbvQG/TSDSfHdkrETnmm7gq8nsZibuKve/B
RRL5LGukwUCorPlY1I4c9+zt5V51/pfApvloBYX/bWFaB3544XQ4zc8gvOKFMMXKPqKajhn++u17
zG1+bWWNc1vpxnrMoDv+CyHGRf7wz3KQ2PZRQXFxX6g7/kU+8Q9iKFnaodayjS49PctTOub7MGjk
XdVrXPLsZu270bGKF9jCXKX/vWDC/9/JJZCgsAXFU4rw5m/6ntWFWpbHc3RYgqy/i8kLOo6mY4sA
gu3gTVjjUnoyFuN2Mf5MK1eKGYZ6r8fS2Qx8s6XuRBJFNcNObedJpVgwqTnw9hNlPPtm17lX2eQx
lrmYFhigivVoAr85T/hJbgg8uO3ckVWFYDboodSClD2VK+cKFTB3fUUW+VC6h3ourU2OOmgbpJxl
gxkIG5nE8zzQHIhpce6x634XCo6tFY79EUczIq9GAb6gGYM1TNbNv/jo3P8qI7zkfMVY4MBVXlKh
/vl7q3mU+Ph8qnU0lPQN9j0S26VJBqAdykGyNC1oM7yYvbuzDMtV3g3LPq52VAEXjcHkbtM8i8Ok
Jvc22gx1sCtiUEJ208mkma2r2R7od6uSAtgriiNOw/BfCHP+4iH/7dHDeoXo84KWQp9zUc79w6OX
c5foMTbxwTa6oMWJx5UgKeDQV6vVP5JyFGxHLueE5EB5BvE4/GbjNZwM2eVH8s5g06mSV2yCcarQ
bfyLZ/O/vheIM4HRum4Yo0z92+ebMcMLMAXFh9JhUMUqMouv7VSZf/FjLnlff3//+CJRPPIKcLT/
BZX+hw9BszD2u1THB9afS8n1HZLbN5lhCx0w+OXSwHNGgulTTqq2Kf71Rzzi3bxlMF5eodmJ76ol
Iipw4GXRgthX2Ak2/KF0tXZ+bj8TZ929/vcfjfN3SSPnte0IYSOd9CNmP3+TabYVbETUPfFh7FwO
hdVVIglthoNFWmo8PNJ/jcu7xs6bj2plesb+x4adUsnzQj7pFjHD8iOKeL7+6/f6f6a//kf59f/4
/8hG6TuRy+P5fxZp33zJL4N9sjf/xF79z3/vf4m0I/vfka7R1F2SGBDMReiD0V70//FvoQt5FWwJ
X3kUoP20+Vn/GVvjkmgDjhVHpcfyGRUq/1LXDL38j39zxL8HPCPoUT2XA4pVyv+NfdKx/9L+/tNp
gVrRx0LveVFgo//52wvpDks0Ewo875ZeM7MNsPfin+pYrq3S/5NBeh+Svuam284cJCSzZmPL2ZfZ
zlVsATXaRZA2NqXqRPNOsEIc32Kcufw/VOd+ey3ahm2OQyOcfeyAJmQUvwH+aeQmxaihH4TJ8zfL
x1P8ZC/+1Dy0rqo6YNU5MZzsWJAaGBVAG6AxMmZbSB0jH6cnLDfB2JFHgvUYDkxMRuq0WQh9CGEy
qexe9Znzxykaf4fdy2W4UA7xqS1b69Gl9WOXi/+QQG45+Yykcqct7yZcyddYieoRuAMScUeBGut7
W0RbI5oxvSViN8xJ4CNI6jEq3XeYMFROk2WzBG9DNy+Y6gYLKSkSHNg6G7/A74/ZhNa6k3XiljP2
sWbs4De0WSGf/ciqgz1yHGlvF9cAd5nGIi/uOs9mO5LPLjKXzru2bA+w/NpFY3W0omwqz2bWLCaD
rKN4xzaD1GLpsKFukEP7D27vlOTM2FguAWBIiK40RRM9KbKFrrl2TCQfwBPoj86xvoXp6RCQll2E
a3EtGD9PHfvjIYg2MaSvN/5rAV1cZu6x50XIKio9MQVS1Yr8ws78x/KSRHyj4HfDm0BzGm9mq/NQ
ui4ruKSJbGIEfNiH1xu/D8nvy0JHB1SmMAOPRsTFm4lWFhEDu7fxJjUzKEyR5527jSZX3Kt5dqYk
j9JOXUc2OQNMDysawmbUzlH0Mb1rhx8qPtmE/ukr9J/oCZA2DSMImUkd3TmCke14Dcu1bHX53z2j
i4WZl8zTPRv7sWLW0HTLDg6W6+xkqANsRpmeSSyUVnUsZs//pYO0fanlBS/IEOWn6VJnPvPUkTSN
Tnkxu9H0/cy9iXRFGht5StX1BJ1zmiN+Iz2n3mCkCc5EbcPoih0EANIZonon56xjycrqbEkWkxEr
PfV6xHFqSgBeuXwweXgfqjKg5Rnmi22utU7Z4MhzNE2hzTy71m8Ri5RHa5DdJzHAwVUsSsjabs94
lR/tPqVmJKqwqfLefWZrFQaIgcsGzK6tl6dcecS1y3q9QapsCKYeGuncGWKSUX/iBQZbDItvPGK3
YgFUxKY/zn5TtlsKx/qjt9b2LoaRivg11otmCBiXIOjQJT+3iyTPwqZAbBl8RV6/Y0otrv1eSbHV
GULpTbHgr74aPM4EJne1f2PQ2gKJlM1Cu1DU+Wcfg8jbhQur5IC85xVTLCTIbQOqZoMxJn211io9
rOFYgoxq1E+lLSR/RuIKS/35jSF2nbBNjTCFtKb+WKqM94aolf4Oaa5JfL+GeWlX4zMjzEJuKthm
eILjmVmB792bWDCd91mPHIcRU7jKnareFMxj62Nrt/6LQ+j3VbdM2acoXRnv1r4HwlDOOWRmVN4j
AUpLO+0HN5O/Zm1dWC4oPUbMaw7jQK775zywvROkLSZKPmsHayMDjIR+GgbVjxa4wz2DLyCh0F1f
BydT3zBFxng/Vt6cHRBHMqmoyzBLwmoad4BOpttL2DdrQdeDo4FyaHrSE9nhiRQLYYeyUmPHyqpu
nXPgpvo8BroaDvOC6x8ZiH1B6NKnlQkipsJOhN12LMEWcIGj2yS4SK1PJ0tD9RIV3cUMOvOibOIS
sEVqNUJcGtIg+q6tBXM8h/5BGEwgSpLXYdm/+qFydpHLIMrPS7OPB9luZReBn49p6rYNi9NLMGbe
HolSEbyjGCI49kvgfMQLxuoZMbOHksvX6270of9gRrOfswWV5iZwAVbu0Fbn067yi+KBKjv0N4Pt
IjWNgAdYV5T1xRcz62Y8Zjnu5hvfS9ckAr+5MAny6p1G0cXgjC7kPs3L7NmJOOa2YzY7PedFTpIE
klGexFgoi6jRLJ5eYrJHV84rJ2e3xCef71btBw/V3Fr06IuCSJiju2bWuYz8Imgn9WPeuqxwOBsa
cp90DpxNkrzqnvLIvdgvWUvumMxBPXLCfGaLlbPXS/3VOg3KyU7z3Og8GakPuiNicJPuEcPER0Wn
/EOP3r4RIdk8WGOf10QE5Ot36eP/2zR4aMgMwAJEYFzNuA1/abECzfTL8tgJ7PT0YUsLeS1YXX+D
uJMPAcQC7Rgbl/uuXBcKBON5X1G7ctFFSunnpYm6m8bWk89qZC6h6pUcrTEbfqxeYVbfzkGTP3qR
HF8nrJDncsliFuSWtT4WtQ3RJYuGbrwp43V5HsGume1UlFxHWWlafZwhlv1murMcobI6t8hEBNMF
LO0wENZyahnEZmtDNG0YbZycrfGdj7N7OSIy1fH9EgXMaq0plDeWZ+KPQCzigZ7gqsUYOTNwqh+H
Os4vVupeblOF2NTjkNvCY7fQ5rKtj4b5V6ErUm00Z6Zrd6X3KUwdVUnGDPWtzwfvT6chnkl/hgZr
rQ4NXjuWJ3ueWCpcLgA0RMXT4he00dNQZNvF1EWC6D9/tFoVnp02tN3D6CF+qLOAyUdVEATlZFme
YNCWKD8yRlZ+K90kbAW9UpiucPLWlDk+vOpHv7Lq8lM6fcYiF2oD44X1OJNExZgtZush9eRBGOCX
PhRZM2GOd9z+wCppurIk3pPEDqZ+p8J8CXdOkYe3Y2shQgb68uNPgfyQ3fLMrJ1hrltkPvTK0TT7
fNY+qvKA4XoQgrzZGM4itCne6gLMVX3wq7WkRs+KFcA6j0VxcvxFHFzinB58dwVSVubOM3JR/Skc
OBG3XtGOf+gX1URtULr1XdBLU21lMVnBXrgrregSabzcDuLYY+OX868Mef0P8Ll8fG2wruaHoGHQ
02IXMw8TmK1w5zLbjaEREzR6DQSKjzHL4mGBBZXqHy+rxpbyxpXjCRuFD32Jcg5GJfve+KyUNz61
2HbHbV5a9dMUg+E4NXNQr4+eaR/HTpfNWZh2XDYeE42HJfSUjTVc3jj9nB9zsXR0ZbPBzi+5svqq
r3US+nJuEhcZLZaHKOjv89XIU00271khazum8eTdMZCXKHn6iQXQzIQecAKDBbvKuMupQX6M780v
AlXujnBcd4ug3aWKbqJXC9YlGmysy/0pUlWgvlABxpdswjJ+XvLC/xnGFt9F5ht1N0AZex3oglG6
LJNz9pibX3duA0mwajPnDX+T8xpQq912vcgOcTVm/hauSVAfRB341c52ZwDCrPng5pfa/+aCrLZc
WREamMjy3vq0+3JNm4J+GCsm7Mzw9R9dtnB0c0GKgcP82UpEOlBwwKhTr202ZM9TU0IoxOcnNzb1
4hPKj1kgzsRU/b5OfpvE7VpN370Pj8AHVr11UiTq1ORfzrwGCWPAp6J0nZPlepz8gMQA8rWXTNCj
vTrjel06VQn+olJDcZs3o3fhl1lQCSykDBg2cIAAcvVynAwsyUaCABwVZXum8Hrfha03Xw2MdJ+7
tqMpz93MhdkMtGDr+lzlcin1o1m67JFnfz2u48oCv4y45rdqHQZozTkrcBatV2SveTApqAryyv+N
fMvtEo1gl7oRt8iJBeci31jiSfZKLnKwTc2ak4rBs50b7bVs4ad5SySG3swDCIU2kPMZfUGz85BZ
JWM3fpbDlLd7wDglHL0qZC/iSSHgXsb942SlK9ZYN8fKIyJUgLMp0WuosjnmVmwFrPf9PN/ZgSRq
mTBm64Mg8cE6F4CSCSP26vBl8kYielXhE13I9qv5tqsonIHbjfI28y/NGc7Ckr1vHIO1XuBV7BtC
rPkKxfrh5XL6dPktgm0xYR9PIj5vli2e7g6+Z+ZP3A69TTtW+nfQDu1nClxO2GIF5LEMRp5Tr5l/
I/tgQr2E1cmwzM6PY9z4NzQNUXpuC+3+KhBmbGFV1WJLkbGiKVxjSM5rOc+fs7ukZIMpjKx8iynT
8zbXCZYcFDUh7P9ix8vstJsJ38gvXt/guisZ2W6kY3O7jwAvj6mUld6OOAAmu2X6uaSivnNtiqFd
iojLObNfSYkhUJ3tbTO4cnRVtDdBQpO7HlhIup+i5wJLUDVc8jQzG0fBMpAhTaMUB8uLIZYRjF/v
xcU+75T8GVsjTqMcnA9kuCRIS2GOpeaYX12PTAkIDZw1Zd/sDGKVLXlkGZiumjY9IeYCWALOmu7T
t9r0LsONeADQLF9NfoGQZotG/ZEWFYwH0zfduW0Q2W87FH0wpjMV7KJ6jglMmLKCgtJlUJ5A4Znv
Ih3FMsn6PP7JYyRdXpe9yDg2OKwK1jwNKDAe3TW8xIyw88M0c146Z0Ka2aqTnnN9H46tvdUmCMyO
u7mqdgAnu0dzwTh5ZgiXba7y7rvoZdDvIUz1Btivqi4te/+DnXO8m03RwJuFrlyya88yLul5sb/8
nrCIiu/hj1/66+MoueCpRoNrf5DBA4ouH75tOt1AybvKwljA5xbAA0iAHI+lH3x3AwVPGcBfzl01
QUWmS3Jb+9AVcH6mMfDe1lX+8LjNfMZkiQ9B/lONOXzy1Ku3VY7gtC6okGcnuPUhjJ9rQU4HGwx9
H3EN7/PeZJ/UFKz2OfyCJ7/8sl2gxkDVBYW+8rb5ItTO8RtxKpWtn1Ld2wcTwR3m4IRU23kHJ1fh
z1BZzjG1jX/ydHlcVcQePhjYletZq30BYf0Jai7mMixqv2JWPVfIvaa/NmxbP0XIs4/7xQZ4dZGW
7zgkp+91CDAUKTzPaHxEdO5hyOMxYZlaJeNktV+iDKJltwatuF4GzxybmZq+JOXiUBR6OmqW1Dwm
uryfIm+5xTGHkpx97HI9zSNVYTT16++lwPTAwOjCIvTr6HkRQcCqBp1K0CmfnhgK36RLe+tSyf+u
LEjlpm//ukze27gbQHrAlb3pAg7RPiiaglBdsgcOdRNnx95ZDmAHyoPqJf4STzP8KAPdv1Dutgwo
lo412V89BxL8bduJ8k/kyfiEmg6++FKsH/hdgkfVLGy3bVl00Br9pSOBcnAStnVE+BTyIJrqNLnI
1GXlwFAsffax5Ryx2yXii2LHqv29B3sf5VYvrseK/nQIWTtNxr4KnQWlik1W0GMV+yw1ajM/VLbP
4MiWdZRA0nlvUam+YwrFMDYYczt5k7Pz1eLuNTAmuGN4AljtJ1Q04l62guiSEDWLtt1N6y3D0ZtD
NLrZlPht6F8twnUopOJ16174ncrtBT3ymF+b/8nemSxHrpxZ+lXaeo80wDEvehMzYyAjgkwOuYGR
l0nMozsGx9PXF6lb6uyrUlVrLy1kkknkJYOAD+c/5zuwu9cDm/GGhgyOd15cHlmoiC3MKnipDEoB
cC+14BBtQXOPFT/pwg8HCgSG6cnziNaMslY8H2HvPgSxH3ikBjx9GgtjXLPi6kVtV/iOVUykcI4b
cZisrFFr1LQ7QIPyzcgC88n1WkVcBQbv93kIOe3Fuf3SUvq4pTwNP1dNTKYB/8LEOlZrXxYZeNxp
5BgyJrhQXQqVts6c+x9TBSbf4BeZaloSPVpffw7aj7asD/W1JRHHcSgy7gu7DWgGGl9UxsbaWyW1
S0XS1Ft3ggWaFdM1qQv/vnEjfF2K6wCdbuDHWJxHNz2YeVfd+WYX/CQ6eTZwuC7lZGBrBi929lDh
1xM99EuKdgwoqwP6kQGlccrUnTfRoLDQ9ew9e6J039zcWJoyYSeJ+/Tgt6rZ4o2E606CO72PJld/
4O8CSpFP5heDCzixc+ieeyZ4mefOClylzsdTMoBq53slO2JPpEAtIdeGLacdR2/9lUDuPOfSFbsW
Wv26M0ulL2aOVay/Ne8FCgbpbQzESWp2Y8Fx2KeBKc/SGccKl5aLacNbIw9rsen9bdT277HCk25+
/p///f5ZptUqleh0f6jfGS431R49/5+PFc79J7WQP7tO/xdf9udUAYgivhGHILMrYLjcWtv+nCq4
QFwAvDBaBfjxt//lz6mC5X2DDEBlq7BcuBYCvsvfpwomwJiAmSFTT+FzNP6XoIz/MHtjwQ+Y28MB
cUz+423G+tvszW1CbfZN367BuL1FXGRkQDVCHJPRRqeCQ9v204Yh6bGp7D9++6TOf5tb/I6BuU0r
/p9pxl/+0X+Zfd7ufXluynbNOYv2i0Tmi4RoUJNHH2NrBf/qtJjGB0YnjGlcSDyO+AW++O03zaIh
ozkbevqQ5Q7Mpkgt0UPhJAYi37DXvJqcm7b8pYHrEjldh/7g0/FluqvB619vbraFM8fPWZmftfJP
bjYR3yzchTKjF/otyKW2UJDTOjvA75X/E1fhH4bd9PqFVnBD/fCs8EDd/pC//fiiK6Xv4WVZu5we
d75t46+slYFZcHA0EMzZZSeGaT3n9nQO+yx9dCIi7RMnt0HcGlr69hV4dLxkIce6Rtzepo6izj9u
50ySKCm+cuyP08j/F70cBNyNhoXxlRs7rutloNu7uBXmk4Hk1RH050RhFCs9xHh+LxrBPWNpQr++
OhgvYz1+wGomh0luuC9XUzQo6t3yC3jIa1PoR6f9xNLC3GNa/JjSad76GkCj4tpC+0DIycRq8rsw
6Ps7kXjVVkqPYXfAL8Op69npLHsrChE/ebl5qQxo31QwJFe7HYqjiCf9npUKYkqYTduJkeBBsFeg
zlSmjzgddivH6tMHWlvg59GaAfg7jzcu2vbKNSK0CMiXxyDASkStjjyPA6RueIbVXhHZ/mGbwoe9
ldYPASkuEnM3BDvBjx9THoVrl2qOj8alVqLplbkfrMMokvF+NOeYy3JAxUhm5/XG9cS8rxhscYGe
ub5VFulLv/lM0+wzjWsi0MBuoDNybmLieDFkgzCouVTlxRtUs30LNi8emH/4/GlceP07S/IFgEvw
BQBepqVOtieGpuupr58IwVZ/GzT/U4aKuA24f397Sec73HnBlsBJwj73F9MMpWZW2+CBX/dFAZ2A
AGFN8KFVSc4MjeMW3b/2U5qK6TgnvfEjiUg8YSlr6SJJ2/oImOj7JIYl18XqQCI9+Ml1SdOEZBZb
6RIK90Lccold5y+SuO3JnyLz69+zcnhu5DH++03N8iCQMbJmBfnnG9uecXmevFefv+9rv33ln3ub
/43BhWPBkMK+i1Xk73tbYH+zbZ4QzDnsVD5Px3/Oy91vUMsCvoCdkBG2y7bw57xcWN9CvCYh5C3m
71wl/qV5uf8PZeQAzRjKU1bJt3Pg3vxlXG6WtAWRsibuSGEARI3epNTXAsOWrGXv9gD/3Mh7wYhu
FiuMuKlaNzLH+xcz37NWkmQCVUVNOzyO5hhC73WVu1EIuadg6tWGdIm60gRYLapfyR63nBFzAUfu
kr6uDvxA5ap06nE3hr03nrQbjNPRq83u0MTQFh7cvo/DBd6BJL3JyX5y6HxfAjTlTHtFnWWsAsOP
jJTr3yi2LOQVkA6fwOOCtBebdB+7IC+CLAt2Zli5XIkpn7gOeAB3rTYAHlhT9epW9RSS07b6T345
Oh0DzOnMo+2epIlHqyGwhgIyP9Cb7ehSr7A0Rm8kiEm7wAZz0EA7st363IUR9mrSnhhKU3Xzlua/
fKYxjlRzL/LoRmz45UUF+h75O/rfIGc4c1ZVZOGd1F9i1/QmnPqV8aPuoxDhgVKDYx3V2XtLCBxZ
kxMUXCKiGodJ+Oa8CgqtqmX5y2Ob//LbMtoPXuMRE27xy4/r3ay5Yjbsr+SXXxfLc3NEZ9KnaYSB
uVAuAio46ZBhhwvucmfd7L/GbADrt7vyD5t8CpmLLInRNNrReJWtA6iC5g9Zb51WemdDuFGDchhj
Ipvhw8QovUPxVNsFmrKpTMVocvZIiVHXaX15Dc5VfPIkgWdfUdfQG21IzsSfs22adqnNGImsDNHU
G1K5j4zwYKUNWZKmGlaik+250UZDDrrrdraq22vCbo0emMIXyuasHIGZusE6J/D+bko13YPNt3s8
4RrPf+PTedopsfZIFS7DidIL/NEDrnwN90jRkLepXUtvEgLbLz6NVSczrkJGSrl8npo6fWG3Iwth
31znkHKC1zJS86NVTxMOQoypjpooPbXC8SGzgpy+LBfARENAqAeru+n5XlsA83IVWeNtw1b0azgV
4AXJjzTOnVhreDEnopfMhiIoN5bFQUaUSbjBM11tXa7Uzx0jQ9IL9nc2HuginmDcTAqzHQ64wnjy
GYjpBS7h/BoOrn2XJvymY08NELKtPLQEEVcRntrvTYxk4fX9tKfSBMXWn4dli+xK1E93zOtKh88/
x6B/tlxrvthiCFa6yqYHnnV724jbwTDBnPIVjI660BwlVhlw8cc5HudnoiDervADHW7GrPUHEPhN
9VwklXhx6gyMdK0o4iUq+uxbLkntoN85Od87+5UukLnyzlqU7VsrSnmpbjmEMYzcGvnCDx9F2pvL
KimILGRl794K23XBQCkjSzPael7FAKzfxxnr74IyN4d4ZUteeijyVTcO5cdEHcZD0Nnej+wWm0h+
JSgGTw5M9/xop7G03qVlXXz6Mgq59v9KYCjD1Q/Zr1xGeItoCMKuZE2C8cnGGPGV+OMItG00i+9z
a/oXXU5nv06NYcHpimo937VGfk+Dqr2Cq8sbPeeJse1xjiPrFkV0j/W232vWiGs0pfFPMrUTdphh
0i/5ryCKZGnekYdHFoNMa3/RMXjzuoRgZygcFN5T/yvWgow+L+fCja9EaKt3r3N4+wemtov6logx
U1SzJQkYUm1WMB1dFGprGd8iNFOjwhUurnyBsDCtSS9g+/F4Bm7n/U2MOVExyieKAzmpbVZd0cEM
J6kHfVwHmKops+nPgUWgmXgiL0mDXpYuAyXkNRZFuyW6jaF6QBZ9zLI2XXNwau/gaHoH2yuia1w4
zlvUETOozDn6YYzy0WzK6YjVGw9BY+rsAh8sL3f1SDJ7kLMg+GfH/R0tuUy7LEMLCpG0ffTyQJ0K
KjVhHXlh8pC7U3hPdhA5KZuN/sbPcubL6MH/BX6s1COh/uIpGWL3h8iQeoYh9g9WkJgXuyK0nTqh
d4QrUYIN6suYXDS8O1SM8KGstMabMsGMzzqj4yUbaC2iiDs11koqz9gEaZty5/DC9sSrgAGKCeEl
brP4INTg7WlgLN9pxQrfjcLut7CI+ZlH2+4+If/6m6lOxRNkrYBEZuWvgzYJjnHXNX+AdRnfQyBX
8HttVyGyGdxBiTCO3c5jPoYLWRVYXqzqK5JwjwmF+MGuR4LfMDczNMoZUHkVTfUxG3N7U7e3T1Qz
zlj4I11Xig5GqABDfjHgnnpLIn9lw6g0Z78NmGDRLMnysmgtF00pGYfx3bALXC9JKaJronSPZZ4a
0gfKWeG/QHPJB3ZPvzpFsEM3VZ9qkIUagmqIf/5SkcELl7IO8aiVme+QeWWrq4aefKg3ePm9lBO9
HQm9lwklXoyQ7Ux8+vAZSDWIfsT9bdspRiE9hhuBUfu75xfpM3s21cdd2hDz88N6+EFU1D0URdBs
qZYPv4dJR4kdwUbw3jVhC/BYvXEoUvKEd+kgqye7am/9CKT0DnNrmM4hqbT9Ujcw+laT292l0vOa
Bfebej/IsT0o+gSvkxmIvYPCtiHJAoc+iG8hw3k8z5XkA+EiBGydfMgLAJ8aPWuYX0wy8NtCMUiQ
NKmtMnqdr2HUOke/s8m1a096L0qAnV2oEXsxHD7Hje6yrvFOaZKk9wQm8pcay/CJA1vrbKO26ttF
i4XuGOo+eCNXOeHi815Np0CUw9uwwkzM4xw7oES6xnkyuG+ROi+5AIbMrgBE+EAAkAJ6shsFqJLE
5U5Vxeb4LFg6G9gUXXMIEytcJ2B/yDbOYsKchnOXVsX+jsaVYI1ly4PyZGxwFkCGMrIM/ks6Dj+0
AA0I6c4hnGH7+VugmfNQc2EHELfMgB7dPoEfY5nDT5KklF0DGOw4GK3NJrXRwCWFv02A+5nHv1e5
e7BU8EStT7cdw+HR8ofmpXPIbQ1Oh2nBHwJWrAw/2BYn3y3zVMQFI5DBRJU1J+K+w7xLKVgo4Ylb
6VXM4TDtewMvH65+opVr5GLnFQOE/mj8AOVYs6oraAl0hrH9RLIHYchoc0liCHscVfCSDF0Mlirq
XXodwRq9pS05HGLreDi0YPvcRpmw6ObpaZLVFW9qWOtoVWvDOOMxeSrM2D/HqRM9pWbGbLkmp3PX
O3TU4QCdyDCbtfGzcUvzieIze5cVmq23jrtNbCYO8d/BfhqdOwyp2YY6xlvY0j3BbjCP8LSd9cgo
ZTHBPedinFCfalGDTJQuPstANSvs7CAOU+ve46gMht4cLxFOoGNOhewmN1IjoaCWPZb2EJHg54YX
v8KFJDb4T7J7a5q6I1Wy0NkN5nrlrsTvdOp+hXY6rjPP7uDS3zCrOrFXghZP79ByQHwGUuAFK3ui
07hlrWMH0+61wRWQrWxaZu2N1VYF12IjCI0F4j9PZzeH96PWyZmhBH3NLr54m0VsmvdBN7SvEls+
zENPH73CZ0ZK/bD3jMPUvbDYWQzNqDd54wU2N7gGyMKWBuwC3pnq0Z+nmB5mt2NFVTVz9bkJ9lDy
k6/QI40EswI74SrnvHlHQot4bUGTqVw6vpJI+6USGxvHKAJ20dgVq6a2jFXPfR0aZCEYP8wmzvel
imMbgpz00zWKIxmobnaMdwOX/yPu09leKs7sq6bEqk/lRf9W+x6ORFwa1akPfHqrcV0sZYY6v9DO
YD4EqD9vErOeWic4xsoHJq0UI/dtW7grN0F6XYRGhHxjDfCvlmaVSBtuE3M53oiwpI5ThC+R33PR
GfwopDfa51Fdlj25tz3l08YNaqvx5nqz9SKl4cRb5ZnBIdTjOC0zEaffayMo9aWsO91vHKzKX8Dy
43rbMBLSm8hUPhYiP4jVqoh5OEggQLeghanGdxok1symV4Rk3wN95Z0ZYVuWNL+oZOaswep/AGGy
6/qyOhCTcV5YltyrV7MdpFkUUvWt1eOkc5lzmppfxjn2MeIl6QQb+9aM29FrAkCt9aAS/Fsi+f+R
SG65PqSMfy6PfFfqvftf5+7986dMfpdI/vzKP+UR5xvGEYItQKK9m5aP5PKn9O9/o3wUcR/rEkwu
3Fx/F0hs8xsSr0cW6D8F/v8rkNjfCACYfCXqyS2F8C9R3/2/KHgW50JCBLCyUSyF9dcIi8J2RFLY
HbZNpsLHkSHgQ1VnHoS8MO0+jHAmXGNSXPM/ZZ68X4G637VDK0Q6tCyUQ35xyPc3bfE3LbuXrL9M
8Iat50DHSDvbbd5LgSdqkQ4W976+odB1mXZj/1o0GR5SjMwQhwKfkyT9uKPpbc2iIecuO7t4i1oK
bqgGr5B4LR2rJbcf2L+/9q381x42CgICBOgt9jZrVHa6aOpAf9hju7AVO/SWpLv/Vjrl9K5rET4j
HJXJGkPqcNFScxXkypYe0oRDF2fEiPH3YIn+tYKZviHXNayCsjw4QOC2Y7zRdDJSFVx9ZJBoE2UD
dMPytpLA7UCWWEfZjZz2+9x/CRnObynQyY4dwIUK468D2smIvei7MRQpQJfYYPwaCNgKkf7p1xRO
mMgyTDLEnRJQ2cYxOQdJ72+GCSQmYTtsXVb1nKaQP8YGr581ischMDBIhIJKe2wmbkbnS1HWzMxD
23mAugyRhdSesLFUxhzzl2PXuhvqYWirVUCTSCRyRpnEO517TIZC52C6KAsJq1Nsd9sK1xBxDJA7
t1wgSK4tNhG5lO6MqEaPN9QwORLY6NsjgyZ1hyXyNj2QPZgGBgM1Q4Clhba17GNpLdWY+mtKne2b
0oQB0uUOhJ/T2jip7d45JvZO2rLatUUIklZUeYtI4rmcs2le9m4ldnmU9cCv4nKflLm3pTUpWnX0
123nsWOCLpw6xoofFxiqDOezsYZ41zumsfINz7jnKEXxLDHhq54LVtvKKRz0C5pQFsEtl764pQKy
pQtUK17RteaEqzzwkoGLuSPfte/hqG9mm787QAoSxr0TnHydWh94sstP5evMXwZ54wIhS8b+Csjj
CLGE3lXMBul9JmCiK02Vp0kvTWk3zT6Zy/qlhGfLZ82h2FiYOGRmpvIA55d4lzgbQArzPEowvfpc
AsuiKAWlHbIAwK2VAAFLqSj9KcuJu+uxADS9nSxa6rdMoYPH0jU6GA2wG1atV82CWioLT9eMP/Bk
djYGR9nq4SLYiDdOnOiYCpIGdgOOev8NgUej+Yl8vkczwSHd+kZ01WNg3pkqJQEBFqU8zrxQdyRq
OaUkZhDvnLBwnmqCNKDfCL6ibgZ9RqyaPBHnXyzuD3ZZD89h3JKEIHg3PubeJGg7NZxuXAculJS9
HpX1s27h1nh2aT3nHMH7rULk/QKHGoUbxxZwDm3ZMqpB/HKNK+eJEedEOx9yGcD8onaB/kLoExTg
2CD1nnqopPiqW+PQNaa1afiXvXTj1L/2M+kUfr5SborZeIgc/enF+Ycsk6M1ZNvGNJwNtBh7QVVY
sRuS0H7wnCxdtU5/JBdFxIVbyTFUGApmCyiioJ8HeL+hdlnT3lfeLM/gLz6T3PIQP7tyGaki3nE0
bk6V7+cbOKfhxtfcUePSJ2IdGep22A/wOE5ircap/pi9btjokpoXhISYYnQdjceI89JXWUZ4qNJR
cIUkzpDwAAciWs6VBsLXadf68Kl13BeiLw4gnh4mH9ca1z6YCyuLVJj3s631rUwXaBINvBXsRywU
r4o680pJ0lIMtr/niSb0zp32EtqW2S6I6wQr5aYDTIX5J05I1g9ZO84mARiwCoX2TwPhAJd6JQS9
yYg5tcfpXa2S8mzAvGGgZfe0S9ZjdGVyldtPA2RqtSCBru7yuB3+UEbZ38uxl/kazlfNBVBpNC+c
oJpDrYWGNPk8WVFHWn2IPwIY2yujcoOdHUz8Yq5PkUI68mlMQnCOrpODy98RcObId5h4gElu3TP1
kxQbR7u+ABQJTWKvioSmWdDX+95zv9idIPbXWHeLjowYfq7ZlXfcNqdlw601XnfzTAo1lbFVrQzd
dp8pxFcgQ3lnHn2vok5VRJlCousMcqMBtL7TlAzXVMf5i0o7FFYQXT9N4kdbYHcTrlpemK3bDsGw
axrS86g5Q0CQOS9BM0FjHSar2+kiqrAQe86ZRqnoQ9ME6jzKtmSZVXOVqFWt7NvVsIP1vGo4HeBt
s+JunTcdcGaSIMusNz8aHPwbt6SyER7MQNNhuJq66tWY+qbEMC3FtOI4alNZi8vO2qZlj87uNEFg
LUSbqqcxF8QvIitz7rlujwQSvE4simFssftXl8ieq1v5Y7eSTWmcC+VE95Nxw/jC+E0DB2Jel66I
PIAZbWO9jmOucj4CKFSGQ9ayM7kdsmuewjQgNhAO5mfrT39o1ve7UfocFUyh79IZ36MxtWJH5aQH
xQgIOgV4lMwX05rwiLsNBrSRCFDLak4okayTyTlkbvwc29BMSYjzAEQjy3NscylWjqQQ0JiTazk1
+tZ+vWFQvE5LzwLR04tjMuEyKQxlLUzDTz+nWCjC+wOCnST8ToUy7YDTRFOubMWC+sVu24CCYPhj
jWvOgvZSQkJYDdP8PSoGPsiSMr4SIuOiAFN7qoOh3kay+T66ifEEFaHbqdDFsDGDL848POy1F1hb
VqDgELuwbYMc/qBJv+XKrRxv52Wgy5MsPEtD8/qWwnkg5Ig1iwDcUnTDBKkz99I19Y0xHkZIyoh1
2CTpxHEPHBckg+fbH5Uok4tnOZVnL22gs1lgXNd1FY1voW8WVx/R5MAUJP+Sk+vdGWw5d9YQji8Y
psg9i6keNqNr1sxNph4/l29GX2YyQ1B0Nex8VQha4VHKt8YQoH7XqcUt2MCpsczjwaSuzWGmLzL7
PQRdeYRvMD3Q6Esp4M33nPJ5C28fhyX3rmHIyn0segrBQ8s9mMFgPaHORD8LGaH8NlVQboMOUwIL
k4XopEx3H/NRm8t5ysJ1bBvpnldFpkQ4sDlsa2jy2xvv7ZmheLjA8jOAUNKM1+jLjD+heNE/UHih
X/NHqPByAVp6ol8126XEMw7ZlM3bytTDq+Oq8tC3KASLmePDva4quRESjXuvgKBjIkjs+SnPtP4J
yKfkNQ3y/Nrh57uGSd1g+kqJoHC07ZcjR/sNkXP5HGDBuI+Sqton8FO2Wgw07c3aHzFVdl78mjot
YZDSLA7uZExPw1g6u4FYxsUIbcVp0ovONvaGU2EF1kFVgf9qFCMF2HFbv9pOdCeh8OPUi+8xv3tH
QRPoDPHQHbAd54Q3KM8z5ZIVzyLgNaewdm1UIr/rtjUjNBtFJZ0QVLhZMI6bKMTAjcnDlGPdu49C
PyG7gMFGDHT/iVIroG7GfOc3/ARVUFnfbW+g8rjulP0URSMe2BnwvHVmi2B/IwI5aBYwy1uVMoCB
UUiJslGFG8+uQFlAESFDTJTXL8L3LG2sNdBcoGEBYzGBK2jTYuL/5NCCo89rVMrIAG/Jop90tS1h
5N0xA5ZvvLTzlUI+TpvuVG3zjn8IhBwGtnSZrl3KFpce8acz9ERxP0qMl++1jf/moqe0LR4ND2ll
paD8AK7tueAtIysGhwfIf4qAIA3Qd/1eUTflBYOxdZs6u5bOGD+hY6RfswGDg8hoDC92RJ7oO1Ne
CFhab7BxnKd+GkWx0J0IX29JpBkUaFo9xrQGfgKHz/YGTT/vrSNumiHIZP4cDWUsJgfUn5Q6zHtG
qnYADmxqr7qzWCtmot0c2KTFquaqNt62U86S3Um7f/H4c78z43W+uxQxdU9B6XjqPqpbx4btTJ3h
+uZFWcdlRtoW+BjRAQSsnjBb7HeLtLd0etdYPIQrmnCjjHO77ICIa0odCmY9e7JhAVRP9sNDbTFC
AV7WNvcxOkmyGkGlnVqj8YEuNj6jEdLFMSUSvQ1mYUy2gICa5yYU/bvgSoSS1LTXznUuzKpW8URY
vZFBcFA6xu7Pc4htyDPfmb2PPxhfZne3RP0zEQbj1YIUFhCx1s6bRzRiP6gR51gY1A9itr1L7AS4
la14inYO/a6txq3EiTo5TsIZd61kcNTzEb6TrRuOqja8M6DwblMaxFvR0h9SmEJ75Qmajkj3XStS
MqdQ2T32+BBc0BI/LyZj/E4QFQsdUfBInN/BonSKk+BHHyefiLrTpW/gcSymlonDwhaSYKg3hF99
0BCk6Mt04wgvXg04kJ67IOxfxow3B8y3esmoklhFYGJOmJDqPQGX8pKjasVOAueZYdm15Th7JmBP
uJjyjp+OTV1zGo9iVwGHesL+q/ZzTPjdmtX4nFtkWKWRJ/d40bNzPXc2EUTyN+vSatRxipwbLC5u
7vAtJ5cBAWBlN2kN+i0bmzNlT8UHI2znkpSV2mgiIODY6u5hcMf8rvbbl96cUuooAhIhS1qFgRnX
YbDsYNRs8l7N7wlu8YU1MTnNqWfbaZWJVwhH4jQMqBjENcLXlF6EH1HKmu/GnNPYVoerjmv9I+Us
dg+CYF7PMlKnHlPiI3iFW0EBVu/NDFZvT9VRc4okj/wgWe/9pu5/MM/H2jCr9F0DnAd4F3KltqrB
PwU+lzXkWt6ulF1lBc2Qhnoi2etgvPmWNXcs6AebuUmyExG26LnASrZ3myh7JiLGBZV5BTdBOiCC
hoKkMrGts0/wdB/5dNIZQ188kekSpwT+3hcpI0YQqVmJp4Dz5L1ZsuctdBXZn0FMC8uy78ruYMaS
bAhZ4Xhn8KBZawwMBqZplfcvfZureFUbTvOipqbF+x9O1iMDsebJ74R8z2DaksPM+7YCLNFWr1IW
0fuozAJxP2Z9ocqk884zq9/zzJDTO4IeZn5beoDQNxRPRO+xGrlf4VexPwav8p5rUc7L3Pfr92m0
8FdgZn6pYc4tqVWpjzEntduwUGf8QFm5yqug2KSD71xDg9Xb8jp3xycpHzrqOE/Ef9R7X/bDwRqo
EJciiNayTosdsQe9mRlLHmXAglHHafPa+SaJ87w0ri4GBmYcZrSw/KViia/pWCKYjtHTm+5DI07c
neHNaLXVzT5CrMZ6rrhtkEpHif4aTCfYhJ2p1xo8GJVE84jDr2Zs+pJzh1xRv+HuUMANmMhqRCoe
nIgLtUikU244BXRHbQ7JmwiJWPpZxQOUWjM/A3Oc6y2tOyEExdWzU7ZfMk/xwbe+rt4p7NBfFPVQ
ZuMaLEORMa+SsgXvRgJs603pRx4jbFnQF8jlvBPLw1TJ1rwcFdzIMcnM22HsmUWmvgG+Hs1opLWi
T41DnKmAvya59j5EVTe8+pj3cHiTPriqVDoPkR2VRzASgpZjBwM7M6D8zlUV9j2n8u6YBfA4GIh+
+7ns+npVJPZtmyo32CHaVejD0WcMyptmzIcJkskpjXWyQvTotlYYmR/A0OMPuKNI2TmRJL6+aA9e
YrqngRsUmDNbXcm3n/WcWFv25vEK1J6KaiY20PZh2VJgEDr0O9ndgyvMh5sm9GaChG9IN42WvcqN
KnvgZAeuzWS9OtFB7qF2STeJUdMdesNBesPmnWYH/W1WjGyS4tks/MJbhMwxLxwNCia4SR49UMAL
/3D05U451LVlhZ2ubMm0MIg072URhbCzKJpi3KxyiKN93R2cDi2RsYjALxwPYiO7Rr5l2jZPGYgt
ufBgnUDFHtyLnfbtCTdxQUq5jc4E2uyT2Rj4GqKw9g+0adHFUFNHQlO3PJA5ag6pkwZXzyqaTTUC
+1iJivdUy0E9IK5JtXZtyZEmIKexbgeYzYvZabJ17Og/QnLxKyWY2MyxMD+NOQZqHc3Ro8fKRHC4
Fw7b0SwYjgT5Js56HGGuOVOKjPqWCL9mFp+VwYkOj+YCSMTk0bsB0hPDrnZePc7vREv9fQO28zut
NayCUy1b9EaPBDXilcXsppEP3AnEs5doTGamOXDmgvNrSzYzVQ+LmBke1z1M4Z0wvgdqkBApcKlZ
uqRL2GzovsmmYrr4kSiWrQ6MO1V4zd6ozXqpjar9YaYcQIDIUU5WZimLsdxxXQdsVbYP1M+rTZcH
qIrzxEbKf8VA4ATlkaaJcWMzVfdXVZIRPNMBnGPHTnjHAQ4nNI3oaEv7c4exDhvFPUYo+ewxRXrG
RR+TCNKgKlCusI0NXsY0rKhy7slj2jzlksP4JnXlpFezP2TVxijQ8g5Dkggk2aYGv1YifsC8zmPj
hRQnHU6knNCeOUTnywSA43XWSZceGJ+lj1icMOUVwJv9xezi7FvhQ+m/Mr+ct7AkvR+5mL1rMIW1
tfGrwmjXWeZ5xca1a9atrE1ocCgKT/RLSK32FdYoR+QxZJhMOjZsXnqcCR+DAe11GeIEorBQdnBS
ZqT+p9SZq9fWjujeyqr2AfYDbNPYbeWFTgsm2QISyLkZEeLswSkf2G7ewD/AIAnw/FtWGP4wajvZ
NHpKQK359l4GonzOZEaaswomIrJegn2ssgqEFHXHpzCvpdlM914qfSDIdVg/KjVMKzPS8xPypbsP
MFOdbVrI4RCNATzPfgaHp0gZf6IaeC4ObhGS7eoYHRjTZDgrw8dhgoYMJQK8y/RK7RYbBBKqPqnS
8dd9ckkbv+9XRC3Dp1xFFYYV0jk5lfDk3/zpFAl2gp1kmykX6Zyoj4BQWr1MSHYC/KlLJuSozu4l
aGx7WjSjLsJV6mtSPPjeBTmDOoAlb9s1PhKtxblwQnWxtZhfEM7Hi+H1tEyFVrFNK0dulWzs7zZm
nQe7Uc46DQz6GHDV6JUsXMhEPc6lNSgB74dq8uQtnbzioAxrOHeGgApTAkGgaiwgh8mfoODfE0In
9zrllLVUvjG8wvX1kP85XG8Sd8q2GHimhynscP/7QC8wlfBBXGqG1cYybkT8GVmJD/zfsaxHMBgE
+f+DvTNbkhNZt/Sr9AtQxoxjdqwvIoIYMoacJ91gklJiBgcHHHj6/qJ2925V7n1U59yfG5WqSqHI
GHDc17/Wt+CAV4/QCnCvGjEH6NBfPG6nAAvxLnGQmirHu3SNpR7apDEfbO3Ut7Ph1TlB3ax9X6i/
ufhLjqNibIV/NgGZIOPUKq/3Wd9aWI5C+5i1IamGCrYnXjHQDVdLbBXcQKyJv2c0hX3FEIZWBgue
s+dothpm7ZLWcD4cjnFLN5avfNvGcV0DwmZPX6vpljhw/F0b/XWB4yLyLP5QAATu4Fj9cjZtiBBp
Gps73ADqyNrODUiF5odyCT5vQub/Oy0N49k3Mnk/+V1wgyuvPbm6Hw+Lkw4/1eBeSQgha6cWVzB7
C0Tgh5/HFdazYcMZggq2HrD5vnaX4IYa34r2yaZ8dKfRuzFsLI1A/IePOgcVAN12BrxfmvU+d4OJ
PVpStV8tSWItIsfTPHBEQv2WtaI12RH3gt3Z90UGweNid/wCMXyrEmwFuOUwV6oYnp3IAmWQKTXp
peE9fKxBTX3nDlQJvKs6fAKh4dBJWXV2FoFLvBuqQD00TeExPWBtIfY/uO4xNPv+Dv9ueZQWD7Li
hpQiLN47n1Yvb2XO1fBlQVa73pBH+wxiRG1jIOMOXHBdPuAwht2bhrlNsjZulnvYV3wibG5O0FT9
e4Zb9aE0rfRB2Z68Qru89Ti2HDXcpou6jmjhkur4thpn/4aHJbdc3ca3ySqB7FjNWxqPRQTIdPrK
kVlchoB+2nmqPvB+geoZkjUtEmJt5+F89mFwP2aEO3cddRNEXcLHGfIVedqSpkUf6fKAQ8LLVxA7
qfGyTf/J0byu0A+4eGbZw0Tjul51htLbkeMrE5oBhcPIqhizWt5/CdKGGjzTpNrJhdLx4LKh5yRQ
ergsxcBdbpwmeUMVKlaOOUzUOy7e7sR09TsmOKxUslfebZrYwVn7jXs/IWfQ0oEvflVYMb6EZGB8
A9Q8uNFmsmdVje+arBbXBqQmKrrB/inreDRWyrzCjK1GGdka2Z1+jcLTc7X22CIcByOoXx0CNmw6
Q7YsKQpnYdmaaDzTloaIpny5Op4OFe9vlLYYfCm6EhszMJ2InjFBp5bjudxNE9i++BOrL5TRqTOz
wyHCzyJ+Yk5TR20UJVqwJd7NIL226Qwlgd3CHMObIfbYyAY5cytnGTjB2HDhjspWSDlV6+AZz1Pk
Xul9lR7ccbAKPYwlg6COi0ZCAB8d4wxxgkUuDFqQSL1KHz04AluCdvopCyb3A1P/9C1j2/rUTsNA
wWQxXdf/uB5OfpgTGl8c8AQtIDZsRgGHHiRStiYLAQBWqpzFeMTGwhym6B1uNEWfniHPmd9KxwMk
pmUMFQ0KsOCQFvqHuAnMIy8K/gj34AmHOAzS2esB0OV10hw65YFxAQqHzTWPy/m1hYDC3AbftG1L
7vlQ3vsIbhsZ5ibGzr+hpGI5DxmVumxR7eImCMH5JhOFIqRP5+A7Fl/C8L7JxI8oNKjulZ3J+Ar7
mL2LrLIU/2zvFD1fc+5igKGpRFj5/uC0pxCoUbwuChe2gmqaEAiRaz2XY8ccxa6L4zTSYrLqY8M4
ILJXwcaD4sx/0Fx0q3jI7Gdmtk650gxEAa/WnvfRjll9kUxQ77l5sXcpuV2uYo9b+6E3K6vYBPYy
vaE321FX5MZTcj1d0RkNAiShIWntMh+MNKC/zQQL6CzC0f4o3OZ6E8OWTuy3S9fkvcBSeLgI1iHi
8HGpTOtmqtvpQvqRGkb46RuQ6s2KMY0dCeFbXFm0Fxu5vncNlNFUaU7X6m1gE46RuS4PwqhxwhaW
2ui5HX9Y0svPA9uJC91FrF8LUbwgMCEXj9JexyO/W3IPvIE1KPPNBKl8UUlanItO21HTm6lYt6Ac
6cP2+rd0kMt9N471CX7bFSJBoaBrx9WhtALzeynhxSdSdKcKBNxtTD1jt5aZzjZDqZfvKnHSfUJk
59AtpE/YryMTU07nbf/HG/Rf8gbZvk+c6T/3Bj19rbLyf12+fgx/MQb942H/JI06Hp4SYROfCnH6
/DM3Ffh/2BYQUgziJsjdX5NTlvOHG5qhaZpAZwP7T9vM/01OiT/IONk8CjzoNRIMn/R//8dfsnzq
07//Gsz9nAkGEGqLkF88ns1moPFXe07HJnnw2bZEWSLvrBjIZmG0XyrXSTDysV3uixtXTSic14aO
X96pu394gH596s9YXV4Uiqsp3JDOTJxOnzLBlCjbVcHGKwKsgpqwyPoEsKM8/v5ZGEF+8j4J8K6+
F9q881zcvJ1/fYmTYdFZFhDht0pj2cc9O0ijT+mjmhCFe1yZrEO5fcoUpb+IrBkarkWRIjde6NET
3TIp2xZQpssyXUZPsL1fJo82z2VadV7m3LRdeO0ZUeHZyRRBmI6B+z4GvzmDAeHg08ngfgxNrzjL
iolF67NfSB2UxcTmLwwWpNEFZezWbSxQJoOvGM1WuI8yVuXGY+27UrkolgJRdAkgzj0xeCfcIiuH
hWNObAY0yngKFjrvfNGEt5irr2B8Go6Swqx3mWHMz3lGmrgNiINZSCUUL/vDzp5N7xjSw7y7UlMO
yzXgt546mp5XdpAaxd4NWvsUeASkEHSzQR8MsCMOyRsQFDs3oFk2yUKqHxm4woRNZ/FFXIvPMKBL
+4FbbCLXinkdpRMG7xrVKvuZ6fyJux3M56JNq3tkoBFu0Gy+c8pRYDs9o57X5lLz0NDW+k0nLJxw
wHT1WDsK9dLwohHDLmDZ/ihqtp3wSvZIsGo/dkzM8WF98QczPJuDO/kcyicmqoMauPlRZ5odGYxO
PQHfaboMEi1k6IriOIqp2pWpX+wYdQkqPlrRnGp8dIeU+9reGVP9lLCj24WxJv3aDdQUKmEwVubj
VlZhfi1r34z8WjLRDrFV4LghVTG3+hRyAN0ybpdnxyiodQs8LBewa1YBto4949Q8Crk+vc3UD9Zp
xqgg15XH7RKxPKbSwyj5+Dt6EcNBuockENOqNiicHmG2bfC1q1c/scTrNVx/xj3HdzrxjsJqnRW5
jQRzLrpSC1b97BCFehoxZRNuGPoNhBCalhh4cisMpbdKWrAsfILqiTtwiTcfpMqjQEe2QHn4EFTX
c4jXdQOhlEor1CD9JReDg3sGPdzkLTYpgCkUvJ0otbRHfcCyVD47ZNsdt1WWLRdRB8632o37B9Op
rwENxr+7+ZoDBlgf/ECP6h4DrULcmMpuV2RwjC/5NVKcDZX75BRAkjdTM7XBxU1B4kb0SDXdJh69
WG8tw8AfFHoIJhq4X7KaCg6Zh75I9DeEBmpDcdHZp7yzOuuLEOwfl8Cb16xLAlV78fNvaurKO13l
xQboGb0jme1RQNceVI2yC3Hj59JT4gUSRgOQcpyfdCES4J5Uvp8TLztDMU4P+FbIYcaS2VnSOuOF
c6/EP5exhRkmq3/2tR1+z5FWD3SGLBvDg7dfK2x960RV3r4wWzrvM0up8wIJKpqdunt14hJEwaCt
i9ksVNUvY70ddJP9tPFcRhqW7kPN8PyRTiPra8V5644c07CL05i3cBLqmebiZleOyjz1HBXf0txr
X5rccZ4DEboHtjrkWOXcxxuvuLIKh6HQO4nmDw2iJuC3zuLM6r6XMJeSY+p0CU3ZeSlIojVZoyFE
9fEb3cvkAOb0Zxw7frB32WYtkYWpZNnDFFuAvmU5Fgq/2Yo5hVoSeksliNh1INwTs60TNuqzj1PP
IK0/0QTzlW8aRX01rZssSEFIo7ORsRoDxeqSdUoDVr5lXEzro+MMFYyXNghPvZyrm8WZLbWlBIQz
l6A84hC3wvriEYK4G7plPLRmEL8qB+rhJjdGbbDr1oSc4pjQ1HHMjJjpEjCdVdyH+phQWfMy5HUf
HGK7o1OsBYN5b7V5qdbkiscoBgb9lSChvPQdEgcuREahCK7vM9U69gY5LN7VY2k81oMjf8COHEnG
NGmkA4JsuDUGmghm/N4t+kRVv/HlX5KoWsYpWeu5CJ1dEfecIwn5oti0uG/0mt6VXq2HHiMQ0qK0
3ic5OpuRJL61rVKzJmk0tP27wRnejQIogK+VK823lvastdku9vds6O01871wQ9F1twViiBw7+eGH
cpbmYoKjy3dsS/GCWj7Vd+tyiZvdnCBFrPljGSmHdmmQgAKG84xC6JJ1uehXjdu3ewoy+QGqYikS
WF6LJmpsXWU9CoMqY4WHSErWTPJ3qxSXZrlripnATJx4AxRu31mmrSjQUnaV3wgDbxH3HRIFzQu3
Hpqh5jxHcWqmUT4XWY+7r8vDLR9Zvda56LduUU70QlOglyUhVDxsi/3N2HDGXDGdMPp11VT1XUvM
BTcal4M0QJKD5PbuEEHSNAqrwLnNx9G/WIRu1uAv6lM1d5rVdEmPVdgSfClwMa2YJORErfyr6BVK
J30wiJn7G6gPCvrxqIltaeYm09JzvEjMUHzkc8X3dqADeyJRGKqfHafj2wV6R7M2+4mGPTNhvxXi
inujy8rdCGTpe6Nodk7vT3eptsKHpdDJi9WjOjSY6taEXzmQytRGlKwrGm2CsDtRtZneqkBx2dq+
4T6XcE+/0yeJgFxkXYAdMUFat66QUExTDoNJ1+vOYklPsI0i2FPckIlJ7Fyzkewg7PRpnHJ9GRfJ
g1O3LS52Y1h31Ds5FxeOGmE4QPMPU8+Mc3YprkljIGRVVa1GYu2DkUJ6bRZrzZ5sm5E/3rBN/u6O
hrfRfncLdtbEUoNZ1M0lz8cDr43FyHl9o5vdUvj2uqKrZetK5BWEvlrcwaDm2O0ruMAbXGc2mQ/y
2EcQleKNu5z2V+hSM/sgNkI/KxhzF2AvEwe4DLitT4UbQRKH7B5nUn4gcCMMLVd24WJpUUP3Y5hh
Se5ckfXfB5ES9qgo/0lXYyflPhht81QAagbmJUrghAiPAFTLEY0TobaK9YHmanklEC/s1opqqB9d
F4evmntqw8C3KsGWDyPRVg7Z8Np7yn7VLfWuQSLgr163KhRN+oNHFloIF2WJEDPaXRHcu+D3Xiwy
rMhUY1bcJMLBstrb7L6iTpnNM+5bNUUWEJ+rSykM71oll0thdiRN6sB9ykGd7E3bzm+dxBdvk8KX
iE14oKEcU/MkqWHLaP0owAzz4bGAyzWMWyQU+Lbdj7Cws3QLPBNRwdH5/OgBdqO9T2GAWNdzbnp7
c2q602Cg9EYM2ptTmlfyJ0EZnibJrWm8fi4u6yrNfOUaNxCLWDZqT526Vpf6lmC0X666xECOwocw
LpGbGDNcRHMS9SbnhJuv5Ez6apUXYVZuCjbE3tabUxzvHdZPpKIgMaN8tO3xJvTbUWwtC7OyIBJ0
M4xBKdj2mBM7YJ/4kjW7BQ2COWEnGBXiSS7afkV88rG7hPl4Y7mdc6TFCJwJi07Bkl4Ez7OMRyI7
lE22AIR1CxRhCj1EqCzs2LLKSR7hUhtfBcf9Ce72EtSrwGQbFaFccta3OTmM2970QV7ymYTdTTrH
VOqWY/7S0TydwU7pfcGUVSeHsukQ4rvW+GFaeXxTxBbWTZO7ymGeNEtxw7ThzdEuMjgw3P6VT1ue
XWuBB8hkvj94LOaINqV9XNykY6MT9yeq5soMo2xDdpCXzogloEJi8t3pIgmzUX2VJiRRc7ZHA9WC
rffUm3YLSfj35zHrWnL0ayDkeuwzLT9wHM7D1r80MEGv7ocyc5GxmP/iBE6+1fiXWku+OWH1aHs1
N9YgDTdsMr8ouhzuf//8f55oPz9/SBAHfzLnTi/8dByc1TLa1BwM0ZhcsQXjIOG0G44h9m56bQMr
RlnZKzsE8Flz46CgGuRttWIsQB3yNHsHhoyIgwTkHoosCM/XF7P2XdO+GFrOb7bNFj4DVEnKgTtW
fwcBton/R4/58V/RYzC+4I0lQvSfKzK7Iaf8pf9Vjvnno/4hyATuH7BoYKD53G9sE03g/yW1fPGH
FdLzgwxi84Hh9PlnUst2/wgszIv/UGOuma3/n9Qy/7As7Nm0tNg2E0z6gz4JML8TZD6rIibPILhA
UH8sO0Dj+6taEdrZ6CuG0VHvpXRsL0TYX1Mbl8ovb8q/EV+uPJxfrwL2Hb7LERaLqm/zuj49jcLN
l2ummxEAkfHLSCXFli1BwtSsL8ZdUslx9/sntJC5/uUZfZBmyDGE2izxidATVkshhoLu7MCaiGVK
7KkpXo6UlhiOhvUGB1H2KIYg3/exeBi0SUK25VFfSKtbO7MN8xvlpw54dsRaexnym3Au9ZlDz3Ky
pkKe/+bnvUKtPr9DfOQupMqQmUXwSZ4ir1zMeoJXUMRN9aFH2qpUYPEr49CQ40MsuNUHvl6Blv3o
GnP5GCahX+YklztvuPrrOEw9g+Tp0eOX5ufvfzz7X78n4rqGmoFFdpC7FN/HX3N1QYhfkGmVHw2W
dM/ZYpFFyJBnNoHS6RHkPm1sNc7GY9k71AsbDIJ6BKeIn1ns8b4Hr/acVLeM4Y+WJZmzG/dTAghh
FTPQgNMJMv+dAKTYkY3o7kqaWr4NiYUpem7lw+9fy588u89vtUCREraDnZp//vW1CHhDZj84XiSH
ks2o10GanSY72UwS/pnusoEiEcf0IqNR+oPgTxOvyqpmpl9XvUclQWjcD9PUv/vu6DDbsNi6F4b3
NlkFSo13DrrM3gDUH3EFG8ltTQ/NgeR2GnVJ/i49wCNZ7L2FDGYuPZX2dU3CZM5IXsx482g/50xQ
1cx0wXQDqU41Io6dWfEWCyM7EmqdIzxO7soutUNZipl+CL9Dg7M49h09v2UIlaN0UeNsm0cmsJrC
ERtn3qbBfP72+/fyzwv303sZXOdqTkDM3/H9T5eZDCpYfGr2Iit2KkrJinrb5No8EUzdBY71kzHH
dMtZhENCNRFu2w8d8obflt03DLT9uU0gy3D4soMDnQ7lBvAo2+q6Dqy1ETvyrkkbtDaAS9MxkdX8
ESJOPGIea45hSVzIcorkJBc/SegoxDfFJn86iWLIt/3gm3/zxWFl/ZdrlCvzektAV/e4FP76xZHC
ZD5yvQhU0Y6XpLIHeEu24R4khLI7Y/bDbWsRxYgpmL/vWpEcHemZkACFkHuK7sQzAJH5R6cT878J
vGR9FS6/MAkgcyuuU4RfL88ymaux9LRHjMX21k4HI2OcD24PtCKYxpvff+j/5m1ARWcmwLhAwIL5
tKVpuD9oMfdeBDM2eDObublexfnt75/l3yyIf3mWT1dpKfLMV07nRYWTZT9oTmyATdfIYpQHzdvf
P9fnscT17WMqEV7vqKTgPxMH+UpyJrRbj+4Yxz46RrV8EKD1T+zM8Y5MimW3RvNqaHg367uwjrvN
73+Af/OWhi6hzkCw/rv89q+fH4UmnmwB9EdlH4wvlobhMsVL8Dd3Yfv61/x6tbIDZuMAx4sl3DZx
pv71aWyWXDGXuR+NXvcgse2tK3Pe5UQ1puqpCbNbEJhrZ9Ifk8bcm5bG7WJBNuB+goLm6BmS/qBg
C7jNva+k3gVJz6RgwiRxjY7MqRnJDHKLiTwpXSD7Kydcuk2l2x+YZ/4m7P35++FBLHWZWkEtZZ5k
Os5fX8sC7bkdMMBE7OUbwjkYoenXSTaL3xh/8+n8y9vG1Ot647N8NjCWJz5dXemC9y/guInJzk9u
4rkw9kDkxmPSAbZ2VDzseavDv3lStoLXxfPXj4uCC9YbtkusrAzhPn9c2u49uyLgGnEYePKwDURO
IjrmApN+c9oGxdua1INBwpGy4fcAM9I2wLj+NU9IKjL4hTI+rXADBHjC/TslkYZZ3EBKdSQLe4b+
NOe9x7Z6b0aCdiauR9CkjE4qkLNtCdObeN0BpdZddYEy70JfSwD56FDZjJ3pqihjDp/NLRkn7ywa
KBmcwE/SNsptMBGCDPEMrBxZ3Q94ADETJJIL6GEmRMeifyhc8ZiEzXC7+F9duXzAr1K39UJfA7P7
5E01xnBrtLkNCU2RKKDqclW1gvZAFeQ7UP41ek5b5u/zYqDVDxklxuGkxg+7xPfrppytKVFx3Pcp
s7FTm9WTlDjUxA5BG/hFYn3HRk3rQEyTSGYk1RdgyhmsC5pytrRkFxR9hfQPlR5qIZU9Fxc99s6a
/HigCKft6cohtmDhbvmhnEKcK2xK28yC7khtFKSQ0BpjAjU+9qqYu9SXQtU6oseBEGxOMV/pP3rE
FDbYBjEN18PgcpZu0/lINtq9j9OxXdPIE02OGYXNtIeTu+zs0mHQ9zQQV7rWePWzHf6ctXMq9PDU
jsOPnN3lSwZ4d0sGsopCMb5WaXujKhjtaugp1rNhr7V57tyPRUeryiybir+rxL4YQpiEiXZfhcvL
lAziPBa4ZHuQgti0E4qbC4GtBsrBeNsxkNxZsNLu+lFQNq742IZOQEqJ0+SnGPuQ7uxY7c1WyPsr
u/CtbmX5qjNnV+c9htgsn8Rd01QS0RGy/WqCv+OtK7vFX5iP83OZLJgT43l4hpZHZ6PRzU9GGssd
Jc3FxZBtsqdX0Xgo2GhdKAlO1zmz5o3VVgHP7MsL7axDVOjJjIjJW1+N2OoODAS8i91J2sb49PYQ
D/v7dCi/dWMwf8uvr1AzDtx18XiHE323NE+mZV3LVedbpPRzbARqlzPZPTRW0XyPMSQ+0ZtsrVpn
IDk7ECsSbWHdGEGJ5RnBfLOEGNkbBmT3QavTS9E2y8aUs7VusDH9FKaatgZ85RuqXapbEsQ/QPi/
16aJv1tZDfZ4DHDTa6CCZu8m2gDQjgKcOpTuDCpdDkLncDq75BWr96sMaZZa9Z7VfStptX9JROHv
EZGrXejMTYRMba85+aB/VZ1HS1/n78n8l9uOJkn82/xQlumTCOhq40yeCU+QFfOHi/qBFXainKDV
B4LbZD79OtnZwTUDPv5wvORYNgQUFFEqWKWmA9EGo+POJuHwOE6hiMZpNLYF6Oxb4qU44mDdPDrD
/E0Jr3koO+3DKmVV4BpcNq6TjYey8u4WaTr3Q1rxmdjwTqmH08ONaynNRdWn2zTUTI7ow5vsRp6C
HMm0cHzsf3MKQCFe0ufewW+DaLccTbPlBTatWtOmkWPTUVii/Zb+KSvNv6oBaYVZjL5kS1zee3Oj
z71nVJEhO4BFZb7z3OydybHa0gxYbyhRa1lXuw1T7HEzUcBzgYVA94sxUXKq8wHLZZtv2pAqz4w4
+R0VEGECfol6zK1TuS9O3NIz6jBAjlJ8olDKbwFhgGuI5yMdN+uBysylyJ9iWhJ5xbK4Z2hKedec
2R/mMpUPcszZ6QsEpV2ubHxe3VLn5Kf92872Mb9Jur/ayXm04mlNNNdeDUM8Mp0fdhQ4DlHY2QAj
2mOKDZH4O1KYe3W9ji6mUt/edYb5CIMQV9A0nsG+xic9NDkl3IAF3mhSsDay1XX8JeF4Nq5SxPMt
CZWe0/XSHXsayPA0OxFyb3IZFvTn3tbWOtXOQnVZQ3eC0XZ4wLOQdCr8NxdsAqRDgpb4pZxm1yB+
HhvHGO8Mi+4iYkeQxJtG3nggUx9cv71n7EQsDyP618ztGhIrZrGz4iB7iWvhRv3kZidaDp03fuom
UkPhXWocHruQ3sRd6sv0a0jX+k0rTKIYFFc8AECkd6+S4R684rCWfc5xEG/zRiVNdZAOFFJ79pg0
d8y7Sy0Bi7Qs3nnW3XfWzyJFR8CgOasn0Qc1EetU3tm6nB+gOIij7Mpr60qQH03XmSO37OPXegnn
t6G8MlTt0nqYkrbd1dSfHIrUzneA17IvovGWtcTzCHOQpKwkCAeLNGxucifhdpvOd6Am081UkAdF
2ekjk1d70kwPj2QXvFPsDF6E/dR8snFV35dZ7xw6pcXJDROmgGGenMdK8DsVjpc2yD9k1eZPMMfM
dUYJ0Z6vaNQO6puovHRbE9nFPNBdV5cwTa1iVaKER9jg54Mik+kY3Y0cbj0ziyrl17e6zNpVIqlb
XVtUlUUGZsWz0/rNQ79kHnU5bfUW2FRnAex6mWPX2zSpye2v7cedp0daqgi1YAd3sbgYrl9hE4aG
FzpkvVxE0w1cN4V62rWPxIMZo0yYB0aGs156aJ1AEn5y3VVpEVpa3Iovftx3Bhj+2ncPeTIuh1qY
r8LtgzvB40nhGsY92czyvGTth69ofqXYw2EHXHb1Y90NFzps94EC/gEMLymW5M4rQn8zzWMBzybN
D6PD+5wEwCpbcGgr5KizSiRSL50vglbGLq60RCCYQdUzt7tltDbc4jhInjliEk/BF25tQzJOGBTU
2F1cJ4xfgi6wHqqqN892r+WNkyTTeZom9aG8zGRe0qbpk675YYArej+cyQy/C9jHNwWE98hOeZwV
C2PTkXmzViCAzS3BSQeKzuTMX+1QBadqVLMBYqepoy4M6gdZB/UhbfPxR8nUdQByYcgjadBxpyjR
IidqZdazEbMnyTFD0Lzqcb8ekX8oOWLCsWM0TA+NGNr4yZXWwIdPWGWlYG/s5tbxSvaZrQ9qN7UJ
eiq7fGm8cCIvt5TJplNlT1oHz3sc5SAP/VXb5OGFKNS4tQtDb0ApuZhFYsN7x+eAnifj8p0wSQCB
B68RPQCQL7SuwnNYtpIf3vTxMYdL7kSjNFoF4sBYbicGT2yZOiVv5Zyqcz6SgfaXb26Qv+L4YPyR
zvZNByJ0PwwLUWebC3qhuXNOC7IbDDginPw1c0FuN6YdBOxu4fNdJSLa4iu/3chSDCeauKxtGg/p
NnCYpFSYmulGrOKJ4i69jSk4zSuso9xdoayCo4GdBxv4aFCF9VJPy3GIPxY3eBDafqLr6avVpgcx
JxTLqrfUdt19lRjVfTuaYq/MmsSXWQW42EQBHK7JQB6ZloLmv8D4q0zZbQIvXADqGbQWBaXNPkl4
9Tn0uv7RUAXuEXDIwJelPVyKGq7lCmy3R2yScus1P8LA/NpL7mnCfYzJU+zp4a7fp8VcALxo09kj
LekfYx73jwtGgd08NUZEzWmwr8FAkJ3htvcBfh8eQkXBTOJey8RqR+64kgXBlK65F8TU96NpJe91
A9uiow458puknpgH3jh1Ie/9AsEF+3DWbrCwygOOJv2CF5abjhCjQzo1wZ/vgwr9mExYLZCv/ewn
j7lOmCsYePDKieKxjQEeuDAzvym0yCP2/4ombPoxIxepNerssDqNbmqQlfSbYIvVmzIrQgYsuW7j
rK3MNra1CsWjMQUcGAJEw2dsBc07B3bziETRALawQy7uIdwZiYEJP8a9kWsyVVX90SM6bienN79y
DduYbXS8Lwax3BmjSeQ4CGlnnYauOTi1MM5m6sS406jlO5cpfW0dmw/IDUW9xrPX7IZYZJvMca1j
lQgc0kDSKwWrZ0gykjRt+sjQu3lcPMdYk+6Z77OK5RRrnH8PSM78klL0+jAUtn22AyKq/JXJ9+tS
+KVKmvRx0FXr8R8L69jlBBBkboTPwdL3T0ERFuFm6LPvLCzlJR319KxNuLkkjeidsMhkf8El0/Ia
0mKfMmY+lX2WXKwlae/HbmpuIFg7Bzot+ktmUXwGviF5zeQQ3xLxqbmA0F40IJpjxYbtlV5WOA8d
kVF6Sxe8HLSRGH8W0e3bMYCPgcqQ3aIMji9QIuaPycCR04SjCldEA9U9GZUAOWXp5n3Nfu3ol73/
Q1stbi/Q8RmUYinvWwFIlBydtu2DF3A+TiExWXvqnchD1Zkut20u6n1a6/xVqap7b3PXJOFsMjgA
cL2YoJ8TnT8PlhduQDBS0FUZnVoFVcXBRiSVeWpTOhENLPGRRcPcfqSJe2U4Fo57EnZ33CZzMPhL
Cau5arEbzWJ+AbRWP8MMLWlfEt6GiCRgpbbuL0VwDSIS2VmJsRj2kpdg0Hwh65/8K2BY7VIeGxWz
oH4kNOCJcrYSHnWUoJuCDluUC1SLzCUhj2ertxBMTZP9Hf+7xfsNvXpkWnlrjRhIVjA6OEl1xvjV
S+P8HQxw3TFE9fpx3dTkDB+cNO13Zeuw2TWWeWiPjatYGZL5gReKhC67yeBQVTk7burzbgr8al84
9Ni/VHGsfo40p3C0Rjmsb2wXs/+ag4GnIWNmPmyt2KL8r5wxsW/YSRvGLRjUXhyt2S91NHne21Bh
lpQLgcJycUKaK7N2XlVjQ9aYHX7ecLV7kphaU+nbvtWgt9tlGeioLLIw3Vb1JDfkP9nc0owno1l1
s31C3oupd8/oUsPSkS+YJ1vjMOFDPRdOqJ7JyOD5u0bFdBtwTjPE9HORIS4Gzt76ZjGa6ptnyXGr
ZMktcuYOSwBJj86pIiz5amM7/QnkhrzZ4hkfvPT2fYi18sj2yv6GWyHLAJ8N9ph5qER3ocNxvqjG
v1aiDku5Hb3RPKGGJaznY1XqzeiU8MBoiL3N8PxeGnJCXzhaclwMdCu+5XlXoK6zcL9SexQWkXD0
Me9T0aw1433ciNqX4EdotS6lG78xUuK6Gstr+WfWPNZ0IpzizkuKLd3t30obAUorMg+9y/AEPXPH
wPymKDRlKwsS2KpejATKVFA+TcPUbx1TJkdJ+A+YOBHpVd4NWHuGESbNXC/9/yHvzLbjRtYr/Spe
vjbKQAARALzafZFzMplkclSSN1gSSWGehwDw9P1Bp+xTVW4Pfd13R0diSTkg4h/2/vYRaqDYVuRX
d9tclMgPEzUcEq6v1zANg44TPlIJr8Rqb5o5Sb8TX48KUZfdgUc1xGHYW5cKmKtacQOibhuxqBjr
bsRAuR7HKUBu6kbckuMwnxPLojGgG/4hZO0dma5CEx/Gr9YavprWeDFpAVbkZ1sY8dxx45W2s3M0
Ryio/v61qcLwBq+qf5uQTf41uDlmwLmMpzsmW9wMOYX1IgF0+1XtWIxBmxhkzVgZX62/AOrYrf1s
hdTtx/JX4BhSGhDGGDkRsaAAWiC4DTGtvWKdiU0YZt2qsgZItwEvDsgxLfj8KpuGCMF01j9iiETp
GiFxdz8G7mWIOnnuluwfXlawibuxZaKDwfc0oJ87NtrpANBNbyb/FfIxDWxSNCbpHuvZiNk+9MZN
M83vXs8cjqjf3HlzG0/fo2mzr1jJeeVcw9DAcV+x44ITQ4LH6xIa6xhRPWMdwtxjWKNeU8ugSMpS
b1Nb8xlSUX3yVTMAnqurzykbGbflvbEPKnpdY0RAbNe6C9ZBgcas9HqeA4NYg5aSNlxVXFYwbEau
5C4V415hBgWU1GYbMhLKdhX2orprhVHsCI1yYXkIBF6cdNYT/hX1wSgj8YkS95B9AkE7zlhB86CJ
LpZgLoi6GLw5vqNzAOqoS/geEhIFZ8fzyunAJ97p9Swclq6e5hsb+ady8K/asN3XaFaKEPOmIvBk
thjN5mQ7cffeAFSyz97Qq41HuXIdLOgViKvzNcVBtRXjoBEhgZRzfF8TIgLbiFmCMW195Pn0QPRX
D3AY+NYNeiCwxY8/wgYbVZUFDdYd1miIu4uXXMn0mRA1gEFG6L6yry9pieIgX9L8aqxwIcb0TCVQ
CUh68V49IwZEWGXiqZsKcp+mOFjTAlVHa8YSWdn2AjtZMHp1OhRrfG0EHTpjDm+UWnLPNZ2gVnNN
MpoBKuFAXWgGqpyGd47RuqP9legi/VJT2kPp7I5sob154ZBV+a6N3f6xszzzkFHel5ymHkKmnuhz
7ItSGw9xNiV3dVkGmKrzbh+VRH5rLdXt6BQ1on3gDCTNJyAoWnqgFspXEyTVJR7LC5Yz+8WC6l00
4j0u1XefnC782mqMV1R89VZBuGw3BbT6bsrOCnffAXW/+Qh9x17Xhe3d5JPOznGbPheYfVdWNkQ/
a0tYT26D8Rx2TXCEZzRvyZ54CgTgfi9Q+lHn2oTbJ9O7kZu0AKy8bSEXPCLBCp/Qs+X7tmvUjpwz
zHx1ZJ914fR7CfwJshkhQSxD3nqvMcGmZMae5Ooj6FZ330OI3SRR97OjW/mcwGralTGu+wn91ihn
dzWw+Uqxfx9NUUIFgoWydyOwplngdqA9mA5sZ9LHn7u+383sY+264DNm17U1p/bDaXNybrW2772+
a+SqQYRYIZfsDgXzp70TmP2uTE2DHK1OAKGX9zVGDLzDaTWsGwlSFT4GEZMdq+Vqa9bZyWtQi1TG
1k+KO6TM/Vvuy8/eM8J9b4zWEaktfxqQ+APOtXXZwvWau4NR0d+hwXJOTR3dM/st2R3k+zJKHkpD
AupAG8fRRDssdD4yzh+mEwOwlxT6RliZ7prFw1rEMcM+hFRHYo9PIQ5seokx+7S7IF6ndvNOyuit
ZdFVrMK4BMpqiTBfsdsXXAeG3FWSFmiW8dEVU0ushV/nFawsNlmUHu5JGnD04LoaK8g/7qq0ieH1
SFhgSEk7IS1/fC/IEz/lQ+ps7FLRtC85hpy5G9MNU3JKYvkD8a/zBKW06LdhJHA9akOoHfipjtSP
qXKYtZTRjTRQbu0Bjcq3ZrCM8DtsGvK6vaZS9L2+9WyDAabXQle8Sqdhm/LcVmt66e3sLRExLCgY
ZTTx9BAYTvBUVyAd4t4vScvxxHGRC4bACm5qKWIWmIPW0wEDUPw9cANuRZc871UTW2XyTHpOwsoR
mbn/PYwB8K8sabtIuCMjOKmY/gSvqbLg8PlJ+uCHGMUw8Hjo/6ae/QgL2uQ2kwP8edK117qGWTop
IgsxCK5qhQB7OU8RSsKLix8TPaRPfQcuFw0yeT52MjPT1EGByFPFyn2riqxfaMnyM8Vpsmocv89X
2qduJm2pWAvihnfzjLDcqycL2KnkuifqmWlEHA50i0GFusQzmiuD4gbHtIalMHbuDbYtZvhALByH
8Ntgzu5wtkJ2rup7ojGOLclH4M7RLyp9D6B1RZbWvW2EJ2ARxpNjLRBpJyzCB0lBcuYbF8GHTmo6
Yqz2bQh5c7I+GzmCcZhEdcggBrFdmmosDP5+yP33IRweZT1enaAdyZvGjk5qBWEuI+6rEMD73ima
8o5wTn+tGr7oOUaGdSjFIrKx+kfu7oIbMmVKlmRVvqUNoFPtDGcMYekP+deMrnLdOHa7puyBQhzZ
q84N6JmcgdwfdCwBCTatfgLw2L2EGEHhb9kMqTNZ3yUIGMwsPbe2EWyt0bU2RLkwpGjLILjSL+Tg
uCz4/W5qz8ehtLv32EranISJaTzNHZLy9SDThMI3Zi1MOMEakGrIkRetPeYFUxL6h8m0+o1JqyM4
f3Lk/1khn2qsJBRazE9j02A5IpM3Aomt/TRw4jJbHc9xKRswTuN8nVy6tnzNKovJhuLLcq+a/Kq1
ZT+EM1b0XdvZ0zueuvTQUx2fgVyo61TPFsMv1nqURERZlsnkm+cxM+DJui5vA3owI9nnbRjc24yG
PuhN6UKA6d3FMDwZVPD+8U4akWttA2llL7RwwF7gD6ZkYxFvZp4c32Bf0A7pS44xoekrDeFUv3Zt
XvMOhi8skPeV5bmHjF3Stp+hWJvTBNBBNpIZd2IglGalyLkSv8BwI6vFq+hMBr5oq0yZzc9iju+q
mohzJ572rmg2QAzKrUo1VzaD/PXsxUzgSdiJBFTwFqVNv3JEFe78iXAZjtxeqY0j4x+ih2eAqLHS
h5z+80ryG7NV5dRHmYj6s0iZx25GwRdExw259HlNOEgmLUDhtdWlQLChzOBNdG/dyMtfxKjaZk9c
zUDknRPO/LvcejUUKnyIEPB3bk9lMVQxUQg1KweRZ4ex8clvb8weQoWT6/lxhm16QHim242AJHzw
CGrM0FtASRAIoq8Jp+IHHiVrXSCueVIoo5kTj1V8krPDESbd4dIRkLkaREAjV4oljkZUtEx16Rwb
MTgAo8G93QEAN2+GCWQBK7QK8HWE74eggwx8F6WYcDa64y1fk47zmrYzkGhv9raxGohI8ayEsk4c
lYtHYKUjuQdlPLcrmlJxpoMrV1HDVnHY1PX8UFSfbRIbX2U6GuvG7Y3bdKl49SziR/R65Z3tD3hL
8iy5JPOsDjxKNsGq3vzqQD3aEtYhN0TcEM0sCaYXMzwTmZbjmoAKzq1CpLfonIAvuwO1c1ATT1/z
+QzUcuBsLA27OmXvX0ItXqV1YH3LGDcAeHMRWqeExxexrYBP+/E5tUr5gZ/bDcB/l1weZInZm94h
Ey7SxNdlUa83zJDszcIKhk5mdNcmjuSTxffzIaosvkqh3TF3mMtHiVQLjqZQCMDtdpNwyDKgGpyj
CQybaUo6xRsvlcAu8irdA+rrvtUBZ11p2iz0dYGybTWZCa84JywK3mkBsKIKXTjGbhl9OOho3+Tg
xfeTaGvoviRnC4SKRBaCQvBAmK5xnCjeqQyKRmFPp8jwuHLCcuDT0WXtfTe08YYF8CscXPuMQ/rC
F4ppPdOkdZ51ySUyrLzf9AlWn412ony882dW1/vFEdLvSw7PaB017XDga11TPtqMTHXuRUcricMX
tzbbabmIBnNT+rAG1gbvLJKB2SeWyQoO0s2bDxGC/GbmHrh2d18b+XQszBECbWoMDYz6BPlM1MXB
Q8iw6IlvV/wtLSrrqoWdbZTbhtvQkOEuKIP5XhUldkuXCLkVZi/WzpllXlFddi8ECzGY8nLSrZLZ
8o5RI4gt8FT45Yezt6kCM91CzJmeakIYbgvSUnbcFtlWuU17U4xmRT9qDoL1i/WrS0a4T6zTyUjo
vkSYZTdyCq2j0fkd9uSYjcmcedOudYb5jkELJP4oNb6nYaheyXTxbnCl5YfWiLCSKXisYwzf2OrU
NhNj/2n4tTjCEQ8sPECaaIDIigla1OOFb2RGSe00b6Uakg/bz5ilR+H85OJo03iAeoY6E+tjFAwb
psb4mgmkWqVMSZ4n2OY9fgtoJGtz6Nona8zbOwdDqbwzvWK4IV8W94o0dL+V9FqHOo7YoM+peZns
yKOTVLl18K0o21aqQ6NiVUz1YAU/B4Mt7kiKpxCxXIY2mdA8zzx6VUiyY+nN2UvU5EhIDCRUc1ue
jdJ4cQvjy0ba+ZxXRv1Y9k6wM0pMMFS15bB24vjVNJrhfoI3+2yP6fBo4OoGVvygGbXuhJP017RU
7UVa9ng1yAvYJghRTnYZe2tC5/srx8pVQag8T8ZSH+g8vbNTR5yKrDX3WQj/PIQTvw7kkH4OQ4Br
UQtz3eRDTKticjogsDrQG8Z4firRRRAUHXnM3Lbe43Se3/KwbqZVN+Hpy22DeqxdsOYZdfIJ4ke4
AQPtH8ggAuqsyCEKq16ASF2kEUXvcTQB6MwrxdxHdftmieyrdAC/SlnWVfpg0hloYsZa1XFuPTBs
jU9Q8mzIfF3Cf9Udd2Vlpke8svalcut2m5NovYEdCaseo9IqKX5C+dipkTsjC/pxTxkNdGyynXqF
JZWoswXsVCumxsoL37wo+kSl9OUxbV3Dvt/FgbWDTY1bvlWA9+vyKyVwYeUrY1/ETbbKiSOo0snZ
RPkAmiu81W75OvYcO+PsbsaMxZBhTSZ742jLI7vuLWczxK51zIbqaWqtA4qhtQuUEdNika2lxsMo
2QqB/h5ZZHk94568JelIGIfZrG8y2zn0yXTr1Ey/J9wtj4y6nEPrjcnO6UL0yNUc00z2ffLuVlOz
M+CCngHDpE+C/dezLOgYyzlmFJ6X1v6f5gUw3bC6x6TZhd+NKHLOtMDmbobjuccv1L780jP+88f4
L+FXefmbSO1vPoOPkr8gJqXrL7/8388lmsH8fy0/8+9/5pdT4e+/2n+Vd9/zr/avf+hPP8N/9/e/
d/O9+/6nXxAFwE7nof9qpscvsGPdvzkhlj/5P/3Nf/gfeUEssNK4Fv5zJ8ghzr9/RN+zf/i/RPf8
/sO/G0L838BQ0D8JIBHIotTfo3vkb6T2gL9DWOtYsHP4nd+zjW37NyF5uk0Xv4YQ6Hz/3RBCqo/t
usrzbSIR3F+/9W9vw58+qL9/cH/EZABD/IvqEMUhrhJToqsUNo6Ev4pEUTBV2us88leCgt1OSwvT
+ka5qoyp/nA6m57KjPxXXUtvD58qByYYdBtXJ8FRqBqlCqKUQzq0YlOK7r7P/Xzv5F3ynjWpuysR
aAnasbT+oEuoVn6LOCfTU3hn0BY9eiSP7Mq+ABxoxV3zidaW1UHUuo+VIWO9jczK+QiyMidtz1HY
BI18N/n9OU6c7IRCGuqxVt2xnsOjUpyvnPKgECv/3uzj+lChgbiqsPY/U4PhHwUgkEWAEv3OLlDO
rrMkGz+XBLn3Xgb9zdwmzAzU2O05x6MDwt1pPwkgF+Qf0OWJ7MzEwLsnxFFvJ5GUyPTABtRTv+wH
HPMQ9+180cg1mJKMEfJFW037ICtYLMxBXL0Mc1l+kXWpzgwCIXt4/fPcmv43Kj7vYrtMkldCDjHv
ahnYgNNKxhVsy9G8BlFLltyUJ8Pem6g0yKZIr20/mTfkUHQ3RSo+0B6g+EMUcBtHHLyx67VPGcXr
0Ua1jbh+NuEwpG78I3JH4xt5td6pjlvnNiTG+Uc1QnZbja00fkI468755A3XMhH5mQ+c18kWaEVg
It2p6dxpQtWLDdJmsA1o+LeB6f0cHUJilCKIgWgGQkDrtMJxmdkfzM8QPFIv9LvYJjCEL7zDG2Vg
X81FQhBK4G8irzevA4GfDA+y+uBL7sKqT60zK6f2UBEhu9GU0HsvFOQThDTzA3c+zm9tJ8xvglev
YY4kaeSeHTPrVkPL5d3Nkf0G25jeULD/GBw3v4+XdOx140HP5W6gumDstHGDdqtTd3HiAapBBvMF
8SQI0ElV8s4imeXY1x7ZLgFS187Mb3U5+5+ycsKXcbAYeGg7f51Gkd14EWpNQvJqhCrAjW+Br8NL
qkzxANGMWCLDhw0JUa2By0bP+Nk67b3vNMRfoonb9VUi7iAM5LtEq/EuGrOe+YjgWxubfvaSub6o
N6MC2GLkvGd+YrGHawqwdxTiJwPLwWOfV+5pjiuP5ChYZ/aYfNYONFhEAvtqct3XtIKgleZoYRrm
HLKZyH2SKRVaEBcvSH/8u4hX160hxc1bgL5g7+ooCe+60gwv9swt10W2HfGUzUzsC92Y+9bWw4rU
Poqfhc/u5rL48Oa09ekKjPpgyMbZsRj0tuwPLnNffrTWeEOuN+ngpt4QlmvsGmR4+WBXB6/GyI42
+zmqjQ2kXoHRIgH+IiL130m8/wO2h1OPFHAOeYsRHofwYhH4Q3BY4CauLluOg7gJAb7QM8zmqqqY
ovB1LKrbEU8Szb7Y2m1xzcaMpPeybpDszBbQ+xCC26kjSfZnkEc9ELqC1BuqnnyNcCC9LUO7uJaY
XnYklsT2ViHyzbdd17B/p6ZKCV9Ynuf017MNEcx2jgXPhTq2y7mg5dRPSKZt9oI9iYLvf7imfr8B
/njiu4vP8E86cwLafIebB0+Lo7h8/nLiT0bnUB+E5t6S4RPdOevr1H5iufluOmaygooIxcANa6JV
execEZ/xzhtGGuG6QTu0MkLZWFs5Ey+/muZg3CesujZNkg1fLKHCZzqp6YgK9uBgjq/tuR7Xom/e
vbbbldiOqRHbG5EJAnnT+KOux3LNdyu/jMzJjxY5ceyBs/7Gt9roRtR57qzblAE/qjz7WAyNrdZm
anZb3kdwaDpNNoMaKDz9Mb/0ECXfSy8t3qfBJB1EZcUPkdv9HbEB9V0WNshJ9TKB7rR7LY0mOBK0
EFymPB4e+aW7a+Y+vrJMiW7Y35D76nfECrOD2WvmZ/tSIb8Wnp6OqKXQirBoCxgFi/CJliQBWDCH
wDvaSK/tJI12qeNb+4b9xi7lkt1mdtqT4MoZuQWN2bx2QlpkcPvVK4nc/qbOCuenYhXGQg9sUI8M
nim2TE6VzOhze/aJrwYOgXt/9ownuwWgT9PDKHUG6PDFBnx8VaBfXqVbFoQ71c2F7nu4MdFxHmzL
iW6D2mwOjEeOORzFbojAyhGDsa69ZTzp9tb4ILTWD+PSTAxA1hEKZBaUTAd6fDb1TC9h2j316O3X
pphL1jeWwNVlB89l4ADwC+iEukSDDpilRlmPnuqdXkOfZ1t0t/BrIuQq7XgqQk/d5h6Jyp7K4ltY
OYiYGtezWQ4kE8ohWuw1cAHEvnQN962h0QW5DJr2oxWyrctVtsGhhpgNoeLWh8t/6UE3nBVQDKZy
xbDKQ7u6GZXrP0TLKcIUjnLFPRp0mw1D3klETxnJAMABcsQ7E6smKv8EFcU64ZpYTxxV7XJmhYrT
K1jOMTu0ogeytoyfCCULsBecdRnx76VuxApGSbcqAGzu518HY//rkOSkcDb9cnI2yxnKAoVzhknV
zEEQmQTlLOctdNriZVzO4EY4402hS85crEnTFYSmtxN64kQnR+5xIJfpNDNRfZdQuTdl5rpgyBux
y39dDMlyR7jLbWFliKZRyXGH1ED7sa6IuYjXGA+4gky/wsnhgz5GZmHV7vNklvIe9YITgD/iXoub
iIAiDz2Q3LcmMkhjqKpdu9yTfZPMm+TXDVpUofdDV8xuGL/0HXtsEVcnwuAGztAurw8l0YpggvB0
oUtcrvTZJKQqnBbIU0Ge1w5atktuestH5P6qGoAmkG1FJTEvJQVeIIqLVOmElZsrN9FSd5iUj4Ef
1YSjRHAvg8zztoHRj6c8A/yPTHg8BpJo8a5gK1dR+mzwKyTHpO8FE0AvcjYA69nhjUQQrYgVSs9S
tMnRxqNwTsJcfItK5dwBP/UeiwlYHc6TiDSdqPG/6rkSlzHTkuDFfrjE7RS/GH3SPQU2VsdNaPbu
sSOpfmOgoBk3uekwq7Z87a3iOLLvlGH3h8aoU4bb/CjnhgBZzg0lLznYIWgRVX7X9eC4V5V2mx9j
M1xNVVUb3zNYDKS2KXd5QCSTNw7RM0QPb0v6mjiidmW8FCGjeA59b6G2tRKVbuoYFzkThozq2XnK
k1JdEOfLdexydVl5XD6TOsEMtDSb7Eg2UdJtQHUCwI8GL+Hirfo1IsCkPUP6Dbdq0P6BwtL8Mfpz
/4HGBcwnkxOWuhMP2k7rWZorpUImwaHF2zghkN3DQ+MpzoD6sIep0pNuPOPGrwfm0Mk43iSkJCKL
iBsfjTnT4zg0zDcLn8jMZu0ZQW6+Rl648KmDmOxCC5aeJsv3AdVm+p7Yipgt05QAQ5q8+xHKIXyv
egaHputkGGjSYM8f+WEy0t7yL5LbDivtSVT+YmNyu4yr3IwfjBp5f2FnyxiTPJR2pSflXGJeRpDC
4JEqIfK8YoGZzF+mMAxwfmCp0BvHNpHDZgJxCnY0fgphXss2dZg1t/1Z2izfQsvtt5rxKj/skj4k
Iia06CxrFDneuG3oAQCsqxvfdH7m2v+BltJGt04WMiaqsji62HV42jVFOWDm8DHK7WnPyUNhHaTm
azLGGwYW+auFmPPqAE07kORRfdNSJt+C1my+Up73jc8A7zB0eNx989VWGRAUJsrqCL30jKfzPvFd
m6J/RKQ/jmqbetwVPFbEXGzNYcRxwW5R4SmunOroqY57N0jljW/jS5o7mP9WI6c3tCkVWx5mT6M2
mDhHKviAZ+XsQ+UhhwTqT1k/F5BYmX3MazQwiESjYO87tbFTFiqsuMnjEwlE4XTC8Fk+KnI5n4lU
ILgConL3NaTQVNY2eYu3RBFw2gyhnTwRN6oY5muEHUme5js3cap9w/qW0rjCrmEs4NcNJBTFfxXq
F3nfOJbcqrkRMW4pQCS89iELjrr3klNhadJeeaHE7CVGhko0rO9TRT51gW55q/2s3VfBPNI42faq
Rup6HBGs7KHuo6gh2eGaUwnGpLhM/hn95bSTlV3ubKt336M6tkiHilkpe0bar/Js4qmF0oRJhDCA
blWVpP1l7Zsf9OfZNX8uU5AtE2TrezcY7r1fYw5yq+eWGV2IQbxrH0XYTPleQ777TGyyDxlhvuZd
QVGNM2uDmNnaIK/Xew+W4wos2rg3e4Vwc8zM1y5E4MYEmaO4boaGI2mA6cz26KFyg1xgrvL5fmeF
1z0znpifVdWzhU5N0IWWK2/NNCKiteQ1X7KCXJyEln0Fk12dbScUD72OO1ZPXeMVe9/1jSf8r/bF
tgr9EwNK0C4ro2pElRTOkbo34I0fGlCUq8gozrmXrByzRvXRsi1FLZ/sVdzXnCKCHmNsjU0uPzHN
ZwkKlKLT7AtJoNU+28sK8wrT9PmOgvDUkZ8gzf7qpe/l/Ih3cS2cDutWIZKfiQzv0jRHaIKV/sGV
Qf3G94vLS03dvZ5dLE5RUV3NYSDuLM6YQqCEMZq9zxP9NstWv6jct9+YqMtvKlGsC83WObaGmdxw
E0S3KkOSBj/HQpmcwRGE0r1OkvDYNYRF+G6Mumjs4f8nlXqcCBl4l4ggQFCGOZBdB91ngjLSLVKZ
HTyvkTP3qTtee468Na5zy2Z9IqJD6EgQvvFUbx0rYQ1voNnGnQ4aAiTWHsacw3yzTA5OKWlkIypZ
whyn7RBb44EaEv2ZUyKQX+F3Di4yQzri1IuqIeudbSqs6AWdQLwfMKSuG7+vD57T+AcWARFjxnjC
ZrAISPg3CICG+bwdsNJc62GSIYs6vPlFnD+GBYco21Bj3g3LheupqN6DTXrJjKm6SR02LGlQUZCl
EfxlbF3lhr3ks98U7XbuKwwwnBlIAKas2soYude6ywyt1gAIeAJJyOPAntFKrNUSqss/pVx3fs5P
DF3erQEr269TgSrPAHv/UYWFfYhSTgiwBUQOd2riUYnzQyFAo5M8Q76xlybY+0tOM61rjQBCbiaI
IidhBcG5QMSHZOuHZDCTpMR6lvxEFMBbCAilSEd7C0D52uUenHBXm9tMztMNEz7cbI3/SF8Opgwh
aypyfFHKCPJzlEI8z/XgsvojAC8eZUSbxI5vRWJidoo8SfJAEVhH3ZTW59wPKCNFW/yMAj2uMOTH
R8+eDNySAdpiG5TfTVEkKW7YMn3D58UUu05F8OgYg38uKLQv9Cod0dKyP5qTYrKEzcp+TQxnWDie
1VuubOS5VVaeCGnCWOdWyaHSpncw7TjbO0NT3xZ20R6Ac64rMnnNMWFxLRx/3mF6svY8YfZLR7t2
6QyiSorBhfqbM/uIfJhYIOhW3eL3EvJmbA+Tx/vZFz5a1AWIGnmPohj8PSDd5FWZmXOs0yy7dQHe
soU05DHQySW0le5X/3Uv/B84J0srLB3HY3djIob3/0IdwFQpggC0794AbrCVToKSMBxwF9aS7Tye
D/pfOxvD51AVBdqU1NflJooq44FIw+kHu4+q2WaOBKgZs3pbhcu8kpmOje7NN/FhWBFLawy/y4TT
BL+G53pkQDgh8r3BUeNgyqZDNP5mlv//eR6v+Ij+8OEuE//fJ/nLSuFf//H0vSn4/9Lvf2QzWX/7
qd8H8d5vUgoktQzaIXQJj7mH/mq7f/1HmE3w+yQFI9MQ/P4+E5PfB/GW95vDhAh+9PIdgSLDb/2O
yras35i/Mz3idxz+h/L+X8hMf2VSKAAHeP+VDXJAUQX+ZSClmL1WLhvWLcyQwwQjRgXpT8tDFAD3
1Qi6h6FMf9ZcrP/NI0CW+F/GQeAKkTlKdJnYfXgt4s+jsDCC56bmrN8qlmhfgeOaq95xHERskgHn
UVDcJYgPHPCG7kI6HNsFeoh8csbX0VY/GTUxkiZEhGu9WFiJJQmiJxTyABTreHLyTRhK9NKsy72L
k9Vju+rZje1sGWBTJjVyP6vBvTHCTu1gAnMdFgu3kSqJQSooRx0iBFXAHZOF8ojedJdAgFqj0MHq
WheE0cOE7AD0KQMCTheN6LbGJnm0f0Ekx3Gw76xfZEkAQ2QIM+bhDoY8aXvJ0jbx98EabfejrfKH
SRJhUSW3TGTac1rxVtD0WPM6GE3glvEv0KVemJd4VoYPe+Fgdu6CxGx7KySLEU4mLajEQMQgQ1C9
IGlYiJrcpCR6ZEn4GmMKfFRyGKkVo2oTYvCx8F49TKReboIF0tn94nWmjWMQYLhQPO3B8O610XY/
g1FA+SQqmkEpMWv+Z1dp0gwmrfD3Nb75Mv7ihIZiYYYGCz60LWuw3IUz4SYiipQ0wRzwFIWhF52E
baIlwehxKxYoqW1IdTfGuXNvxjNOKbHgSyl1XfhzIE3jX40CR/9lDDVJADM7QnbwCwgV6gFM1GrB
o5ZOP94OCchUtITFetFW7JIFqApRuXqpCw/Kal21RrhxF/iqIIB8IyB442D4RWfFP+aXl1AsESeR
kyKoYvQEQHgo6nzttJXPeJ99+gH0O5RMFjDza54JfJzU9tBJkBBZHYlI6BPu+XOaIFhdWF/ScKW5
DbEigELp/EukNFpac2CSue6xW60lqINj3w74o72iZM1CQjDJd60pbNgSLuaRMqzkq5wQVBJNOtGA
qoHCl52u561U0yKEL1nNHoO8dRGrl7I60+Z07xSdfJHS2rwi1I6+gs6tPnhn4sc2Lfx7N5XcKvWU
4V+LnT66slGHXh33cL0FohaAu+TZXFgD8LfMImKSF6Q+5Q0V3jsuzPaGUCM1rgOHTmYVDwku88i2
pi0sAbFDvjE9iXK2HwuqG5YolugY4eQ1ttLZH8YPCAoqZKPCgG0ILP+dqMzoWxPz7m0drylxWGYp
oAMfYcfQ4cV2e6aEWxin4/e87NoXHYLxXAlE19/rOKmLVQXWbGNZDalYCmuSiYistr6MNraeoq7K
X/HTBA9qtN1rQRY6nnLWKiRpaxtbLcRMRGwW1fi2L5ANlQqoPLRIYDwhKBE6U3YB1G5Ame1dzPwV
VGuTwQJRo0sIdkRYGutCOFRWNKCiRjhiUQsiRp/ceRjA60bNI/VizewnJLt4Ju/KWrwWnCIp/g5N
X6aN+6makDlaqZe+kvvEQIYktQSPUOGWH6bZkKoN9y8/zDVJcyvs5e7ESSjcY1/EvB7VLx7PKvGS
i5Fn0UV0LrnajS9hoMz0mA8xFsxXPlIsd5XK0TR6ldoGjmqeQsywG6dyNAMFmT8wZUi2c9UqtarU
WF/tlhE/eyVzetPsmN85zPlEsYKRCgk4Do81+h8DesYQJukqHCvIyIaXQ+PnISfnphv5lxq4jvpQ
TVhzvMRn8TQUHAtDEEhIrcY83OlO6dfMZNK3nvGWtYCefLStJqvtt7hrYYOGvZQowi2jQD6HfIv+
T/QXQ3rVizeNiIPbYHCZyyGDv2oU1J91OKPyZ0vCkc4ma4koE+DLQKJEMxtJr5nCoxVgpVm5tp3e
oU0yowtTU41VU/n/h70z2a1cObf0E/EgGOyHtfutrS7VKyeElEqx7xkMBp++Ph77GLZRZdwL1KSA
O7EH6ZSVEncw/vWv9S3nqpn8JD0OdDZGV8ZSNCEZ0nftTd9UGYNml1sfOl6Lj7EA9cO+lnV8GGp8
qRs9MAa5DkTtnW6XBGqVU1vulgenx7eHWY/QZmNVlAtocn2kqgxVNsYb+J/YK4F27kn4kiCu+Cvh
cgW7td22VILe8CT1PwMS3jdW0QdAvPvqasIfflkwY1i85/zytPYP9owpyrxWIbMjAfFM30LoCmmy
LTipF9pNsawAfO02ANcC2kJ9/3Eu8FJnrvBxQGOBIYutgv7bqCn90ftOm24zmCr7SUT6Nqy0TUYV
w74DvuC1bpI1tB422RaSdbVJ/DJh1KiXSyUpIrcCNVzQA5EH+c4/iN3fIprHGxUIz2wWLlKfSeyV
t26sBr0Hid2suiOKITOBF4hTnBgBlFbRwArnGY1M+WNhrhuA5jaz3ZS+ggMR/KKhF6ObzTNyQWvz
b5vj1LyhUfhPHL/t/Yxh8Ai1zbw3vJ+vfZnMhI9LWb5XCslpYw/QBrhGrzTiKQ8yOoSV3ZG9MwUh
Cd8S/U+tvPHepVfuNp5jeS+CgVi80YzdcbY8e3yQfuHkiYkJkGo7zE15lNhoW8Q8EgMspbEZLFh9
263XDYG3jbBfktobfPkjYwp+bBpbnZWQRXnd4RV891Safi8F8g6X+Q6PpU3giR8clUY9PlJIgu55
mV3S8k0Sh2+GiOcHb5fsB2andObYIg49Qzbpl3LXjK01QltHyrlj+G+6LR46d8Z4VZM0tJzexWis
6GtwyoEPATYkVI/8o5NRfNtMzStJTQT0HvISCkNDgfFg0gMXA5oGKfwOpotJXR8PncMKqjNeybhM
Z8aBVku4CBU/CUjSpt+r1qJluZLhr06OzqVO/dCjYt0G5hvTrHoif+lfK9d+7/y4e2a6dT/DggEW
DBaP2T6SA9wHm3J2MM0qGL9D3yJW2qkA8DwTZkgJg5/EBzU51N2yaSSZl84q59PpKOZtrYnN4wCr
FASGkE0ZacfZai5qct1XPXY8URWRWC5ClEkTeue115cC1Dr+XF6XvODt774gYcQ5XSZvWV8TRbCU
O9/5GbyBHW1w0z7NAFBuyAPaEJPmylxhvLA+46xXiPJwXuBRAzHatl4x/nRoZTcwsjPrZ2L5jb91
BpMTjHc4BSJZgTS2iQk/1giE7imZKFTnRbXoZ11oFjlsNeC4GITBiGbgGNt9kecmuaGP1XkQ9BeH
h1L7mhLDpezo98NaeaawO/iCu0XaB9GHqGa567s22jqj7R88kumvepZrpn7hxtbHmEkKMt+bSZie
DO0MSBjZjWLk0bZ+GTtp34W3rUcPNcyl+jVnRUhXcFgd3AxkAtgvKEJMqtuZ8q87lYdEZXwv3VXw
LOB6GeT/uT4lEd2MWPdD90dO5+BeVzUbqKGHIR7FLq/ciU1p7DHCBniXEdAqGl+l/cqT6HzrjLKR
fsocPmFNEN0Hqu+v8xRNmK9YBg8LXe3IymOUPlrGrm6k0vz8+FC8zK7muCodIFbHcMjNa+yGw9PA
uhCqzuLNZqf8ZLDharfqG5+t+uWmOM43TTik1bZxYgFrkunm2wlhaqCFpSlYCtPwih2ki1nbQdOV
q6bBoh8Zusg0S35bGf2dWWQy2qWrHvXCobKht66l3LVig4HvOiHHE4/jLE/KdeZwZ4rZXLk8iFx6
WXWxLuBNixwKfMhzcZHyGqu78rbiNg8/fskncfb6st8nNqWqbdFZD42hgmEJiP9BUFhCAjd4ezQL
5S3gedCiXqc0dSe1D7agjCfe9yYj1B2kfsSOdVqF3thwE+RFSatdQuGku2vsrsRJSIgKdkHbcUOy
XMOPNnCbZ3usqgOczAKOa9GKCyQviiXGoYZNnqBcvxoVRgPYCpX+LsCps+APYm5FtVVxRbRp/x0x
2cjmRSinfNIsBL8k1ICTxoPUnkGw1W81k3EDW6TPP3IiPuLAGOvdUTCBSuhYNWUv5DTtS5RMXA8j
+q+Bf9RhSKuEjl0OB5eoAa/hpvvRg7hCi6p4DIkpkWv1lcWYM7i9uJdB1tmXMuzH6WB6VzwFde8Q
sip/1ws0Y2DpIaud3g5ifzNVFtXkHs01Vz7Sym0zTlwh01FHKC5VKK5iXDPrsewV5zH3+vsBtyqC
aOFCdHE9xjysDvkxg+F81mECbsJq8i+82KulJsjsC1Oy9wNEw8UO8YzorjlXUi63c1qAiPCr3cjw
tW8oeKwHlw1WQ1ZE2oncaOnfDXwA7qiVCMmfji2UDqg2tPZFu54uCYw1wVhAe10YLBZACwDLFEsK
2ljJuWXHurPrH9odK7aGPSw5m1vj2uHYx/zfGLe8bmo721uEKDaBmblczLl/50TecMA5fgKSZLPf
1vtkKPR97ffiRdSVHDhgcR9U/fDKyplwbCb9h8lnxRi1OWuMer6jrmnGq+MpHybIHJ3Jk7m0b0Bx
QJa3IrGL4i67oO1q8gBZiHWoL+tbUufR1cIWwqVMMELZ5vD+HQ7BsSOx/g2VpbhPJhy644QO2FhT
eBWQZnmTrAO/Ql6g24AfkOrLhv+Jq0jvtFlMfJqvWFj3i49HEpd6S05lSof2qepHcZJdTHReR4Yo
XZWSC8Gms5kohT6xZJ6esRIXP2MlFk10wGB1U0E9/HQKxiAuABlF2nXMDuzY50BDOEnlTOM5kKRz
ptryy7JHmtaBPmWbiXpFe5PPNoR8uzWFPpTUqmyKPIx+APAO84MdduqgPE1RLxZGUg+K4F3MmMlN
YVes70wwDplHUhcA1CbUji523JGGKzauHDsj39r76LsETCAdxmI3zxYPxYTvwsMAwZgAdteBmyKb
gThQGyiigHga/Z8j8fnfrZfJeOfKqDC7cAijczRFc3QC6zYgZ9Ypl2jtlP7vMCFlkKHkXAY96FtD
eRcpQJFyMVX2KoVWLlRIN+kyoCJucxqV4zxQxTFV+yQUHIlxSHIxIVsP4rAdWKRmf9ZWZBjLqbD4
s86C8kNxrfqWhNw4cXsa/6y+aKx5/IUVKhyPf4p+/6+Vz5vsVw9C9nv8dyvyv7iX/3/yK/s8VxxJ
/1Ejpcr7YxyzIfno03+VSf/xl/8mlYZA7JE80UJBx8KLX3n0f5NKQ7EakyMw8gLfsv0nqf7vUikQ
e/oGMWhFIhJe4K967V9SafBHgMdupcLb/FVk1P+OVBpEq0PtX0ipbD9cpFfyPmB8I/Fvsr2I8wkL
4TQfeMul8jDjcNxq3LsORWJrFykswPU6QqA8ZFu81hAHQatgDs4ITtSgjC5rQ19e1xrGWaOalm1E
XHXXXhCUj1wQrCfPjtNzMjeIL1WdsucJRHLoifQch7mADOvwymDMTL/oQV4gkZoyTFd3ZHqKqcd+
WZIa2gne3/CCkdGddkCUwy1sV4P80dAA0S/rxG+4rpxK4DHhRk6Vt1dZ37P6oRF7Dj0hD6ZRkFXi
eVW2gtJYvFOk7m6zxnAbVuUiHmMvK98okU0egfRhwRUy/+xgSN2YckW3Gpycn0kTeT9ZvAfkuVX/
oUnIbiO7WCOACBw9JwEpSRs3Xc6BeQ9MorxrwRKyvOSnU0tQ3GJsMVKkcps5WI5sep22hD3a3dL4
9meY0XC3BvjAyAI+KkDg+MWn9iMqDIukjL6SxkqeJeV4EKnWqyRisiWxvkmMZSwjNUgE4AjsmWb8
CYm8yvkFbAnkM8HRF3uh/OXFYATBxCXnjHMSqirW7RrwwTJ39T4FDezsHOEHN4hF+Qed5hWGjVhE
x34yEHO6ehqWjYjMcL3gKty03mA5m6pauH5H+IBp9KnXm47lILFgjEhuxlBHV3NUt+/pEA/s6ahA
x+MyZ4QYMfr7295i3VeVFQt5Z13IIs9AhjdOPUEP1GG0LZKRC4/xeogwTdwDlEijOAOMINRX29ca
+Ztg84mRg/S2outnKxFm9rJVCEgw7FHBSh7r59F15H2B3f069tXwlNZp85EIh/ASnd5ddBkTHsVt
EM4tah52jCHClocXmmzIJgL6+RM+G+RfBnyvOOZ53T9SNhHdu65NvS/GfwgnRTPcA45lVg/r1JbE
8MP+R+jX88vgWhV34EpYv7Ene6QU0fbe3KCoPsFlN9iRDH/eyEg/DXXNVSRhA0pvJWBFc9KSewMc
g7S+jDlIFE1y6miNMy6hVOuXlS784I3NAoAFCrWJiu4UhKlFPKpFRqPHm4tFl3hzt40Zxj8TPlzr
X42ZDtluYioTjBw9Tg1qbSYv8+9Ly7Og37jlLF4TSs3efB45A72AlXgUV/wCQwUW9ugYpt3Q6SAR
cqfT5NBAt58WzF74ev3fcSmXd51QeMSA6VTa+QULBEKaKPL+0wsw6Wxd253f5wlEaKfY2iYs+Z9m
rdrrNHQAfXmuvKpREyljxM20TYIMggMrhlf8bm66SwZ6nbn0N9wgWNuClvbHjWP8lrajtj4UhnvA
Zg7jkzHpke97wa5Utlv4W9BBnJT8LTgI1OAgfolkXjH3OUGEHyjytxadwHJjxh4+t04q4LdLzfLG
XTJhs2yeK7B2MfgsLNVd9jtXbfq8BGl6EYVdJPtudGQJiFHqN4sPin0g2N8zMHUduAcn516SWCNF
2UVGWSkjjNfdtwwo5lCrnJEYtW/e2WiMxNA9DhalfHXbdQUagKkbChOrYXgb6MhDt6i/imrKcU6j
nMNUKf1LGhWpvQ+VBYRsibpnMcr8ZgkxL4KinKdXN076aydO03d7CnJWGh7GAwXchpqlGWPNFuSS
INHVse4f6rA8JdX4S3SZi/BTT80VrxKvYGlSdl8uJBXMI71CNsFGom+ggSYjhnWomrvBzoFOWsNq
X3NhDYYb/p0UDwImS0PQtwmklUJEw28D/oooLNNHQ2/DlLhTdYK3211BpKvvKn5SkFRab6G9G0TO
eJSoBOmpqUbJVO5zW62WdQ7LKWcDDlj6HrgExizFv1646Nyi775nbcIrQdpjZw/DoBBAZg6nqARX
afFxGxaqVXel7rp3cjtEhFvA9z+gOMsXEzQIrj4egGuRNvIZnEL3hiUkvALjwDI+DcaVo9Qmzl07
hvWdL6PguYPVzY8793l8AFSWzsG0dkHGL5tuGE38BbaSm7xEthIVftHA/hadsMML32HqsBDx2Aak
oQnfxxlPMi8odh98br3qFLvS42DQnv/E2dRfw0fIbxEZ5YHKASJ1lK5629nql2VTQkLDObiU9sHq
muwaS3DwSg2Y3gAfru6KPBJssjqccjRV3lPdUG8xCNr3OScSbfNp96ISUTy3kdPubKPeWxE4T2M7
ufdFaST7w9w5dV4lnjrRWL+J8QCVkYnEuuZgmYT5HFjblEzQUyWS4D5osqemEdY98nC8o1IQ6XNK
QYNbubS3iYuTcgsFD/GA992S7leMLcFJfmzp1uBJWw11IRtJlipO+5GFqNP4T6nQngJc9hQ26lO6
NmyPa9f2tLZulwRiIaytVdz12srd+OVwTWNOsMfxlv0kJfVetclynFU0H+OMTjNIa0A+FHnFJtTF
Az7m+mh13nLyprQ+dJYOfUBHElqjpgPcYE8mzDoMsr8J4BX9LNMJdDU74jncw4QggFr3wj2XScvh
Qp7XPUPeG5+6hSRQbfXpTVSIHhWBtSaDE7amoiGbjQ2KVRkH0LaBnPnk8Wqh8LykeXDQuog3KUTO
fSP08LGASbzBfhfne06EFLxEnN4mYpKPwlXURCuUdva5XnAtsGI8IsKB7YV6YB/RciQ+7Tm8hZiT
jJd6iAWuKpEC/MGN8tGaKH5XpigexsCOvvuudALeylwl2BS2WGPtrsA2ZhuMs1uE4rqELeQiKXoO
v2KssWAa+4GZj4mzMeSyPLaahWnvC/YsI5V0QZdtnMF2Pnzwa/5uzJP0heVo2h9QFxrrdvb69OIm
GKUHT8e4UFM2owCEEZvOURwMjFAm91/hNcpnNn3TAymL7jgWlX2nZUpoe/SGEW0ZkfjEyik5YnYb
3xNTND/Yk1gwBxOVXalOdBc/BRq9WZIqB0TimOve7zBD0TSmfnCBZfEJySF9SxlawYXoiaWoW6TO
k8jn7tWRUJWigfI59uv02CGwsQTDJzPvvG41qvUIMAgLFVsJ113tvqk0t9YU11dRW4tjv4DqgSM1
WvtgCKgRZI5jT9i75mNkz2e2Q0WlvWva6TOXZQ6O3wEppIs0OuVq0eDoR/ACf/4rSfvW29btpvdo
Igudj+gki/Ze+XCy/ewIYd2HuqIgsqueifo/lGmVkcBNhuuowtFN+sDlAXQnkruVFxFWMe24q6k9
oA4w9qPX1iadiNijk4I1tqwyXFSs4IhTd9eR3TQPUdOgd1R+e8PwUl4PiSnfrBCELjbzIfxVmCWl
LZIcE2V2gXc7s+vAlVaO888wM8JcNbMzmVMRsbi8SmtplxvaacxppMSQ4GLSH+NaYLytydGVxL+D
ttnIPoxuqUdYTgCtwt+WPfi/E7ZXlMbRAUsl6yLCfudX/K433uRk8igp63ieokESIy/zN3IIy4OI
qtg5TAaVRYYpLSKwHh4CI0so2Gq5XzJnJIO+vnyBaNG8p2hWxdQYY4g0w+eMfHoTUG/9xE70YneE
9ykxnPyPtMk6epzcMHWIgGHh3ErfoKIsEphUEeidWFuzNynmQ37PpcfSlmLYgpidypfzPHWsTwfK
KnL0dOm9icRm46q6kYwHfmy96bDx/3KtbjxpxKKbRsGFReTsXvtoSb+GzotOZV3YL5MtDHZhMyeo
F4rokK1ndltVPSZnK3IX61yQtDuhDM6UtTrIjRQ2jj8hikD6mPtRkYN0qvZY+GzvNoU95NeMBNnJ
7wnOtLPois3IynlvY8B8YK+PNJEqAJs7CiwWyMext+AQCIDS1+DnrqoqX7XFmbsccBobINla905A
ff0BOwp0vKCuGd6uBRHPsuVDwpN50rZff4YNQZh1ysblqpyqBLjhWI9C9eqe5EL/WsydORfggbmq
8sLfeg7NuK09ePzJxH4BllRzGYRpr5soobQtA3cfb5uyydnCl316kmBX72RDIyk95G3g8nkAJaCi
6rsfHd/h44JXuIc+YvXZ6tovVQPxyvNgPs+wcpgrxRNUJQCFMqcbM1wo3kRn94tL3pF32DSTM1wN
7HXkDjwDqm0y+O2JrZMAAlRnFqNpyo6cRk+Kpvtx4FfDNV5UkblMnu6vRt5IH6CvaJSos5ggyCwl
JonaRv7cpeMYT+Rex/mw6BHLaEEPGybIPJiY2VCuZ8tFn5IsrPpiWr7YpvqHZZ4xeXKNhE4WqJRG
r9IvsjPA2uH3nBTNTdIXnCQWAakfHda/58pbZ4ox9MpdHvIWh45h93euYjlU+WN8kmKqT1MRDGc2
tml3SOpqfiGlIcWxyv2Gbvop/ompOeu2q1fqpsa+LgGS9UvyGsC+5AIYaHZI/yNm/VeKGBGWeALc
/5i/3/0u0+xfRKx//KW/2/2CP9i4eUhUoS+c9b//0rAC/w+qQdGNuAT8ZQT8S8MK/8CG53gR6RxS
/P5aDfV3DUviBMTug9rkO+DkHE/+dzSs6N/7jEQoIQIwZ/v0ILtR+G8ViVntsRcm00sAFbA0WbRu
fFJTot/SidIVSpmeWH9YD7UzDgVBvLS9GJD+G6+1k2Ln6ZyFedFPHz1X5DOeILWvGSEQ2TmPbXek
dQUu3Y/ZF/MDXx6PSK7b+ySryt+5739qcDw7vUTWvsuxFxJKbu4pFYmfOplA0Ovs4dVp3OoDkzjm
Q2l449FRcc9S7aFoyulS2nwcMczpFxiuYi9yxOkkjdQuKsaGDXr0Nltw+myN66IueJ/4FtqVqFlK
8NmHpjW0SMymewQXnO4JBVK11Y7RQzvjH1Jq7B7dCvozpEWUZhxuGzY/3ikDRnUc8T68Sqwmp0HG
5XcUt/U1ydv0M/Qxi4VmGD9pPh+eciWrY84dYNrgXASPM7G8wfw0M8Cy1rZ/FogUXAk8uhG6MLrW
9nr20vzYrO8vXu9OlWe4ELEP4wZ2J/He2DCABVcJ0K+J3cM+nrwbkvG5x96mWNGb5XBJO8r8tmiC
hCSWCAfa/xwJ/zUeh+BQwKn6nyzA/6tX9f+dyfGPL/C34yEK/nBtj1K70CFnC6LqH27gCF8vnWwR
Z4cdQGnjk/vX6RBhBl6PBo/wOK1ta+HaX6eD/4fvgfmI+HIBJt7gv3U6wN34V4U7FOvx5Pku8p5E
7LZXBfyf8unEKpBWZDqd11d2foIsVNxhdFHjzokV3Pt5VmV+qohuUG7S9inE35DI7q5hiXa2Qjff
+7bsITPVnn9ji4LF9zRn/CcqRPYOJCBCTEO/6/dIfMkVQm50qL1ein2vaWq9bTyvyk6sktt3vxTY
Chs7IyWBiY2LYpFwNd5L/gUvg05c4E4Be+uwnfbCaNnzrbif7cIcto87FzHLIq1T7moJI3676Eiz
JFN5dkLYxbgh8bRJWmzy/gjBf3I21lRP8DAkr9yN27YQdY1nJzf0Dbk/Rj1TlVR0E7ccxsiWJg6r
g1vohJX4TjPRLPsuoSZl57qW+1CnMRtYtL/krXNLqY5hGJvVtTvet2jdgPOqWm3DvCVYgPdm+kjz
gQa00KuGDfii7N21/OHUY0iotroR4ses/X6nK+mfbRvzq1O7q2GUEIG/cRD3n7B1mDdOvZA88CJB
WkvRZCeJ6ZUA29IX/sY1OTp/O0Akk3S93eh5sS5cClmLLm623DoZrphHSZCNfgQK3pODG7E/fJ1Q
e8+mAwG7LyNBamKpE14eZraZCDZlMvbZuRsGT9yBrtN0L3WLM2C9LeH2PQ2pEeVm7HsiaMRK35Ci
CqyVQB66JD2rMa23iMR6z5dxL9QmEvgp1iYse55rOgODdLLvkiBkSCQ9SZ5J591uNTvg/uH9Mmbi
m2i42dcFOwRO6/jcWIpZtGUh0IPYPeApM1tIfMsthLR0UzlsPs3i8pIqbMyIiLweSExfA1iNVPDI
svKsW8tG16ZZ/soqVbV38/hxwLhy65TTq2ydfFv49XXP84F7xvuyq2plA5z1nKB9lKI6ekMkt3Od
Z3tnGesbHMX1FTZz96FyWuvsz6C1c4dRoey68Fi5lb2J6B5SfnedJrgE/ZDG+iUOb9iCDTeh2+CK
mNgQlSmAaMgS6Zc7DeUR9al6zTDe3E5O4Z3UJLGZRI3ZUFavGN6G5K4I22CPrtc8ABpubvsat7hb
eNiIowDawpyK+Dkp58dihAFpxiI5G0V8vgsCynaoJN5kUcPqY8Yf4jb5ZwM88LEjoM0dNaFyNpHx
wY9Ld+/WEDRtkAObKY62mT2qm670F9Ksqej2ufHUE7eI+6ntjxM2cQIqng35FgjxXZyWQEQXdOOt
lzk7j+Gt8eRxwq2UmOmBCgRKHgPrkXHxt1LZfaFtWGqxXVC4wGaqzoeAJgw+ZUlIBDTlT2ifKeo3
loEth5Hz5E48/6bC4VLFX6WdHm3CP/fWsojfyA086c2awAu4ukDzYVMDfagv5u+gHi+qgufVaYvf
fEtCCb/mYtG4ujJlFDub2GPCdmgmdLIxONDQMeA6gvlaD+j0hMLA0wa4eUrjLW8W3/chz2N8wqXb
HR1n1aHIYYltaOnHwmseGQXyKyoAAzAkJYU0Gn9OiOa5L5y5/tEDztoztAAr96vldhkL5e5MxVUk
pQ4XEJ01qZ3PFlJsXbdOyNx11sSNQZoXMtZQUZ1Y30YRqx0f0u0+SpEIxq7/bjsH4qIKO5gFjPSp
raP9aNOV5RdTdU+6AkPkOMgrKCTFJ7tKEOhejh6VaK8m1gXBk1KQ8MSTwEmI7EyQyXThq45k8tUW
k87+dgdh9f1/Zkb53lq2+U/7VzpFhfBdxxOBkG4QraGYf347NQ08ZzhrtNXIgfRobOsKNYy15N0A
K/4ZZL/LGdewrNNOh5JU91P9VIPI2/cwJb5UQt/2tWm0be+LEaESWnIs8O/w2wcMb/Oa0kIH7Tal
/aLbS5J6YlOHdnr26EnQdzNxBfZOoPFfBuCXVEwKctwbNiCTd2mzJbxZFlXcp2HKEdW1JAVF7sCt
HOU4fFqORPn2Uv+1GAySCKBKgi2B5Xkb0fHVCRL4+iaKi+GsdWCOxIPry5JY86FM0bcXZ5pPHojk
q8hMehNKhcUapCgf+3h8iYAs73xYmpteRRnfI7Tv7cg9BK+4R13nzHtrDFkqNO5Cj42OFnMKfbaJ
FD3ZeiqPgU1qhO2PmE69MF51HbgZVpwen75QEwy7IDBXaLerPkshybZ3hfVQFH67n5vRu6vM4GBo
ShNAu2a/OH1xyFhCbOyaSvPNhFXvDj4XIDtFpMQbfe+Vil3MWE6I9kif0oFMB2swYcY9TdNUOiTh
Y+qFlCN5P+uceT4aP6juAQHb5hvJyuG2zT+nqX+ILDu8Bl5hAw+iAzZkifKQiiLapg0/OO4biNmC
KHiDQfFUQ+f6sDtP7quSsid8o1ejVT9IrbJbauYwXWIgvZ+y9BS4sXfmtVJsxchanRg0MLzBg6K8
BApZzbTDtG+T2NpEVV+/5WzZdkK2n9SREl3t3WjjLVF9snk277qgsx/pD/oV4GJ6YFHQfztaqdsB
0TU5WPCPsRAvNAqeV/peAsYyieqv0rjtW+n64FKRvyKX4Prk3bbc7yWHsufNr+y5AR1HoE4+jPSL
9zGu3OXRw9POAhjPEVNGlHTvNkPKbQhc9RbWAiNYTsS5aCfl7BOqez6ntBiQt6AtwL0dvWNkCeLr
KaxSiQLx6DjW+MspZbTBiFs9SsKx6R7++HL0StygZae8m2BO+xvVKNCoYEWokarC5EHQ3nED9oob
AWV+21HpZOe7c7b3fSt86gqgY27m+B/cakn6BAmdwSctuvIqowsFEK1lpwK90yoedN3RxAhoyqEv
pAcIsS1KOG9sQ3M97Dns2u4AD5xMEydWiwa3kN0eYlBv1ZhE/Dhlvk5Ky7K3a6iYpsmrV14t7m+2
surE1QvFhgoVd+u00GxwU0kw7qGqT8j6C6ff6jPYa2XXL76XFzeFKZxbhtQJxm4UvanBsZ9wKVmH
ro+Th8UCK8xuvq8f+TaKJ3tZ+O12kB83JBvElR8ie6adC2fEw5R2nRZQHUlqUArtx82wl718ZxsL
fAJSMdk1U+R0P2XBm4n199QqS2xhg00nW9QHShZ4dWkvB3tRmPknaiRWynhWVL+ziqw+BpFOjzaU
lbd4DtjzsiBhOZcMMszwQkzLCVCJ83MhJbTjpWS9w5TMHzI7jj7aoZuf2DbX1zkJOOzgxIm4l9S2
d3Jzmlv2AM9wVK/IJvhqi/9L+S65XYsReu/Mi5z3nioU79UmSzTbu9H8RFu2brVoK2dTxzmeZRIT
xcVy8+4GMzf67iKnL1H1CyvvcQhfIer1I5ZiaTmXppAYJTLAu28YeIm4lS2BsW1r9b3P1lfI97Dv
q0ePtosz+w8KTYjubMNBudZucGMKKdDoSThotOwrDr0BQLiZZozxcVcZMv5a4mDDUXfCFZx+mrwB
GVfF5XTT5su46WSM36BEplsuIXdsQWVmcjEzx8vB0WPwRSTNvo4zX12lueypTHDk8jJC3sG+MtrD
yUtm67kevPR+9Ovws5nt8XGyGaHm9ZFkeCpmEumYVTUBP9Y2MKV5RrZ9UvvXy9Ta58zB37TBTw4d
YBwTHDah6yb3I8VrT6PIyA/lM4d9IFJUA+oKre9RuXW+GSrs85thEN4tIGZCPU7pTDdwMdQ7nDrn
EwuBGQ488t1vMybF2UaiIJiSdclbPWdJdKB9MiFk5LrfMpuwE1VJ2e2rMYP00GUBYUJrKlbVtOhe
KC/A4WjVc7WHeh5i145DPDZFiAw0WtiXdkTux8tANO8uD5F9+fnURH9sbp3+wHax0yziCcvUO4Bl
st3OWUc+HEwObPsQB9EWQre3txPaogkp6iONBrne4Q+xcww+Dc9jDmjujs1RdqcymZAncIZwo93E
OfU1yIxtGWCY3ADJgurPrjVoMAKM0UtZZzCgvSZ4tuGrfjLHOKtJInPZBNUUtvAoZP1tb2YabLMx
mu9Nr9+kEI+TNXZP1dSB4Fdz3dypktjW/VTM7FQX6X34ixXwR6akiiyR87mDD75vZzm80aEyfNNI
HFY7NjThYyPm6pHAa/JCWwhvomKCrV/1VUrnEfYU+ifsujhwEbZusFVJ70CWgjLFJCdNhTD/3E++
vDKodj0FjaXIj5GyJkZt3M23AAT6O6w6SO706Dz4WTVv8LkNcHqm8D2wxfwIBQpLuj1b8ZlRyU8O
NlGQc819sz+Mnal2i+Lp3EppmuCus1Hpd/DdBED4yRxFp52PydT9mQ0hvH17hc5EgVl5g66OmCdB
eqK29fg/o86a2QdA88xKT/8KnGT8SlrYDARbwqrfZWpab6ycEx+Ms5RnMsITY/VoPpxqFMHN7GnQ
VEluXihEw5PDjxjPR4RpmFm6TaG7k4ji+tvxwabWAPP6zgrC7pwvanxyvTK3d248YxkVpUPJcGJp
ev9st7sJaTigZ4y0sSIW8tbi8C+wU1Q+z3C/npsY2o2z4zx3Luh0uKHboucW8L+ZO5Pl1pE0S79L
7xEGOOBwYNG94EyKFKnxSncDk+6AeR4cwNPXB2VXZmRYZXXnrszSwjKGq4EkAP//c853aNQo4/1Y
OxTAmarESOBzKgKvtNRYxRWAOjPz4WnUXfhjbmb7rvVAz2+9Glc8pwcqqDBBew31DxkERxr7pumk
s8EIj8DGm4iUXjl9p/yrWpt9kr+MsLR/SYzCR9Pwi28Shterj/I2rQZh6r2m3YDuaKfbu2CK6UeJ
PLx+Rf87tfTERGwj0SwCRoaBufWGDcCpdteN0tjzSKrZoyJoDSbDWC6WrkUk4BSsmZI/HBViBHH9
Sj7j0ckIvDFEhrCEFICb3ZRl9pbiwvlpGCfzPmM7s4FICNsY2uq0jsekfGxdP/iBZ0WQg2nqp4ww
Fs9s7CW7vuwM5sXOjh9nllK7doyyb5QdDPdZ6ozPZUVv6JIwhhFolCZxZ+1tMMkFlzYz5Yn0TvU8
dRz9GyObDqEi2TURLPldeqq4StFIwI6YM2lSP1lxa1MuFXRvYTc4d7lrzZTnQichjE76Koxozuns
Yi9SYLRKPnEmbx60Guu7JAydMzpaeUhpD3lHBQ0/AzsBBD1AyRogX9Adb6XnikTmrVWsdME/rqI2
B0OqBXuGNhDhb8+JXoLRyA4Oaca8yew9ZztiGMyZtDXK5txVHYo0kRQSFXrvY/jeRmWdbjzX53g6
e998bliXIqr0UbbxD9ABwbKtSLckIaiXsSXnAdGfRITpzw277C7wgMt2RRSvQ2vMYFjp4jI7dUYN
OyMCT4f2UKZOd+iSRG2MDg85v0+7U7Fjg5ffA7zx/waJ+JdjnLVIDP88xTmejc0XU65jWQgR/zzF
Gdx+C82N5AicSHDsXE5pnl2G9xXpTb0mo86VC6DYWlW9XWFMg3Km4SWO/68f5K8MYuZJhX8ZXzGZ
OEfafxVDmj6ox5wetuPUuPtkYIcf+baeH3Dt+O3V83C231IzVfY2m3P9iOjN/AdfqrO208D1DaPw
FXucZE82kS7dUcHC/szGeVR/uHJWzsZpDUwFnchuvh/wyrt29ubRvcRaYlnIAWKxPlUxFjhjmBq/
sf4wdmPX2U9i0MaPJqJvIu298EWZdr+4EcL4rYtxKHCLcy6+GbMU8Abzm9eEfFDiaHyoSzfxNmxi
fUiVZnrnRF2zoY/O5iBhh1fEb4A1yBqPSuXTnTGO9qXPQh6Hhcx29pi9CTwpD7AlTzj6PUR4lpZq
WV/SZMEmcxg77pCGkYqIBFEjH0HysfYMv1agSgrzN+R51gHCqdVP5bneDcpg80j1jvXNtU3MnnXK
KX+VLQf2sZO9gNLgxaB5s/HFx8ccr7Ov0731ddIHk8Cpf/yaAOIhnX5IPEJbplTvmnzNCVZX2lif
eaJ19AuKvf01TrBNcj+ACWQrmpS9oxGIlxC66bEamxCoBS98SnnVykj8EqzoMrMQ2md88ZZJhjoD
eXGX6QZq+QxOcOyiLQ64/CkpJ6D3ILt+INK4T94yJUWRBjZY5XIv6oYd5bIRXXM3MT6zryFrXOYt
8vHup7/MYGKZxibcIu81HarTml0O41rl01n8RG9Q+i5FVn1QFmliUpw6e/yWuTUvkiwzed/NzJd7
7bjswlmkV29NULnFTyOCRbSNqLj/3dl9Wd/+JGbc/nZh/hncKr6W/v90wSpToUoIKdAnLE/8xfbe
F9ihbTJsx5iz1qUyxvBcaujIbWOnR4LT3rH2mlyvg74MAO6WVy8rg3OEb6Kk4ECPJ7cLEe1rahs3
bADwBRd5qh+ZerCOO+xJ32gIQLgK6Ql6cnRNla9AxgsnSNyuGq95FtD5jQtrRfZ4OFteTotWa4/B
D+xR4Pvjyj2CeUofgO6MrPTd5ATE/AnT6hXOzs3H0XymchkEmh3gIg+fuMbtezOfLwxmtCAZDtBW
Mr/0kbCvo4ukqT33EMW1xBDmckDl2WEehkplN7y95s0urcHZlo4Mny3lFkAbMHSEY08db2mXmt3b
lLb33Fzqm9e0467lJNMhnlaGJmQNUnorxyw9zQAR6nVvgapkAK+Kn2Sl6+XA3HOQlN1N+EOLo18H
m9ImouZIkrx+PQ5E5DIVvEeoCu+jnND9dF42u6AD5xnnkDN46joKzSLpdomawkPhSS45x9Xu4gx3
KW2B6E0M1Me4lPVmsGcSLrA30XtF+Es0S/NwP/jALprggSh+9JlbTrDvqC7YAms3HomLp2wKYrow
Y1ivWK2WaFNs3bNanPlUcujMEh+DDJj1734BSosvR1+34RWPmMo92lRkhdd2CrgCQpuwhO7YmaHk
RDu373mkzZLEnaq790FY8TOdHuK1TvLiEJizGa0pVOXWNOrkYW67cENeyL6T3KXWjlLdtkRr2Oow
wkUZWclLYbYpd1HK9+KVxytzim0TXGPeucF5SXfvKQsxua6JQp6rvHyiN7HaEXHkbPn1JJqj1nlw
yQRe9IylhfWO2UPssqk9vBVp0FOpu4hI1peeZHULbTD40pnMRXJq2OouRRWLEhW0GaqUHxPg3LqF
+LS+VCsf/Up8KVmtLe1dL7R6zb6UrgL6I3HSWDN9xty9oZ+7afVO1UwWH2wYy+H9XFX0gC7PsZ9O
r2m+tEfh1RwEUNuSctBwrBos4vAmseRcYpKvxyabk63W0jrWou44V9cOw3Xvz6yaOorXkkPiuXhK
JhYYctMQILuze5vzBNWN7HTHZb2bSuut9irpYZh8Tv2YMPRygYgEZUjF0CLnxZPlq11llf3yU7c7
idB6N0ZIRK1RygP+xvbjv79R/cXa4FHexMGCmxQGCtuynUXb/JN2SeVXn7ISVUc/lPehf63T5lwN
D/++N+b/L8VFKwX/+2vQa0mU/b2Z4n9I54RrLWK0zTnsX/dOPP/KPorwo+A9+Ztwfvz5v/+X9Y8/
+X8DXNYfCMf4GhyW9wBI/6FuK/WHsJkqSU7xRpPf+oe8bfl/EE1VCN+OFB4IoH+UTljyD95RfyGl
EwkzJX0U/0bpBF/xn4+e/FQI7i7CJ4KUxyfkL7SrOPUYABJNhZvZPbr0KR1ygtYQFGS/841c/0o8
hEHD9X1yqzmn0DFrd0Pk2gc6N23wj8R/toO74MozS8uH1tU4BOegONIzn+OXScd79QWl9ELAz4Ff
7jpMnT8bEZQ7IsMJq86x6j5bwpXtJVmybqtmjN03V1rRa1cV7aXmhNZsYAfH4Dd707tT4+zRXKSx
0o4hLTaHJCGVmoakqXoWXGRhC/0DBEWznYh9edQkv7ls+tayrGhL5eWI59UwKYCXlJ5jy54rMFKN
g2jZltwdc0VUoahdtjAiG6mzMRzPKNYFZXzXdHQcWq4cq4LvY/jysnTCF/vRVPKFgxjmWdPDRMQl
3x0rPwmezQ7WJzol+0iqgF2OOsSScOQbI0ICSZr42mXZ8NoAY04hq8dkw018soOe7q3JGqgoa/WP
0sQdboCiYAbL2vba0W8WbXSRDQCILPkamODQOzbTz1GqzDdUflAOLnwRhOoBl28Qwui2Q+K809K7
ELrj8oOTKqhSfvaeGU+WXnMoe1GezSwGW83bXHy6fUUpcGTCTxliU/BDer4iHhaV+9RMrKvIOcGv
UzVN8LKWAi3PQNsJwb3uBTXeLN2t5uhEgbcZWn0qCUagIAkkGZgyj/0Yw21PwsFajazfzjmyDIEU
XMkfYVQnJ4DbiPLyoQcGCZzHwIHNESNccNuQHDfD2ILKMa1h48+Ne1BGHr8idHWbeTTqu0WLfzQM
EOLEoOqr8r1wX+YlrMlO21cSLoAhPcLpbp9TIujQOCuMtt7lc2p+p618PtG2G9xKu0guU8IHlWYE
9dmlxbgz7bE9piVJM6AMz2zyyS8yQARJH90AGfHU95vqhXUZPPrecz5i+AZ3sdlweLNpXXWRSmzK
vr5hvn2HU8uqRbGG4m16bXHXQhnuu8KB8yDjp3zUh2ZMbpWw1n0kT261CxVycVpkaMajR2tTX/WU
Jndo76YQVEVXbRg/cx2oS2vl7qOfSpeKv25ES4V19dYq03t2uqRMOUDRuwKFBFAHT2ubmZy+pelJ
4Gg/pHym7k1ePtJPmEJXgnrEI7BVknU5ZO7XAjLFPZqGfbBw9isOT2hBAQULv1mEVzt2WTR8TWPQ
fppZDsqkB24AKAAbQYJFgbefYxQsKelON7az0YNTp+5GJYFJ7QrFSLdqrEOxYf0aP470rVbkOqJ8
ayMqvlfwWu/j2NGnySzkfRraaHvaHma+EiSGbOitR7x86uDNNRt12ALDs+eP4qXPlT5w8p4+/SzO
2Y6IEga/mziffL7j35E7ADP1pEXDSAGW/sNCyafkDcAHpvVIqWvikHCcTCDWrEtzG4WlTOq9Dmvs
JzkNzXuKUoprRKjlecgZFoNGiidYIfYZ3jhWHF4U9xbFvZVvhFvDW2mo4933Zh9eZ51YD0MTMnED
7T1TJ5n/SPgI864Gtnglzt2ds7S1t4E14wix3fjOSjLvvihyyhKzZoK1rsBv3LlBZR38Wod3kroU
xoI0bfmlJMSwxrCsZ7hyCETKzQycgpa6p5Qqf2BSNh+J2AsWeqwmolM1a4URIjfhTldT80PP5YyJ
GLqHMiv6tBoJ+b33TskCtsF0U9Y0+I5Dw+q7TDlva3rC0tiLTraZRQftF/dm0lDSgPAKrpsylFXk
d9ZhpNwXegM2FsmFu21Nuq8b/rJi/V08tQO0kA6dn22ufx3o+buw7CcGYPvxBfN8urMAqp3qphvu
QjcXB0WA9TOdQbsPgxwpIgzotc6lukP44j0k1HkOfPZGWZ+QjFFtcVdME3itUvZ6q/L802pp9sws
o+EgWbjfaFjfuV7/LXGzimBIAVUED3RUi2jDvmb46ZTk9locJW5rTOuloGE9lAYGB7s+xQauBtlL
2kSs+CoMR21k4BoPwLrUAfRIcQyN4GSGjYSe4o7mFqLu9LaoXKhVwH8eBChUSoRDo9o2jtjMRfYM
qGTc0RjjUd2BDopV65hVhD3cJv5MjEFnJ+EIMOKV3yP2h8ua2ezncdeBpHtkOksuI1XWO/Ks3X0j
xJ3y5Pd+rA74Zpg+25kU9dj26xwj071XijMbU9g1JZV8iBGNH6VssEuCTTio4BVCDlm1OMuAc8kF
ehGZ/N8eEXBf28kJJhA+qwDzw7SZIxZfG8vr2H7Hpa4OQ5N95FOWn+Cg9+92VrU0VkRTfEmmbtgT
fGUwLmx0ybrLmv1ca48CI8fjnDCM/V0ehTDGBVa5Dc0t9mruDfsXsuYQb3nEy3TrVF3EYcYIszVu
snhxP7U8B2LRUjk8Ae5tKU1M3B9F2fZX5Xb6GqcETuk+poYDwiWbc0pf6Mq9lKV35ddyobjJKXm2
W7O214HfadJtgR5fgyD66fNxf58lWEzdXST9Sbu0rZc4QFA/xi7zFV6A3F43wN35pQgtm+SqH5Ih
nt8NNgDbUGUw+O3G16zfSTuAiJvWtt/oi6I05LMVafA95BsDsu9GCkptl7i0QT2KXTUvpcIrD15s
m7UKAGGT97cqCcLXVBK3yAnv/LZNlb3pwal2ggESblNG2An+Q9gcdOFLzPJVU3n88oMJcsUpbjwD
9L7P0uHek6DWKLVzXuNZpbCCjfFUCy/c2HVtHlnvQJuswJDPA/DxtSfipe2S10r63fxD1NI80Kzc
bmw5g4HLoeFtcgtZlgJX7Dovk5tSTCIR1qWu15VN0XArN8qE2eSx3ELvy/ttr5tftsP2gE4gkiOQ
8YXpgsGoi03eUYTh0EaEz+/BsGvwdBgajmk14U7Og/JDcj9bt5jV1rLNm3jrUUdWYT7gCUMJRdIQ
z0QoWbYgtd7lVQtZWlvQVadA7CrMnBvKhhcPlrgPh/4Omee3RZ8MxBEeU+Nacq7+2Wft1pklbDDB
UeveJye/K0Jd00cEKM+gfdlsNU8VECXDcxc03QvNmRki3kghjjXemwtgRPktRokIJnwwjGC6dWhv
0wBfDG4Hf2dzK4vWtj2+84eGc8zk/EkrJCoj8cidE4XF2axS+xuvN7wVx+0LGCRVzJQJY3srQxOL
R+xEJ3rHFTtcnuVBX5nI7Sg5QqqM2pM5eDAtLCO5WaTnIWKPuWIklTeuUAinlHc0Z+aQ/AGXo/w1
myPAgS6gn3sU1j3LSvcEGUb+8tnLXtzeB+mlo/jJbur6TuJc0itolPG7YeXdhdsmLURzqjdtrX6E
yz5FFTABQyfp7zvWbO8OfvltkRQ0YEBdZP812Ul1qaY65+QP0epY5sgjq0hWE3cPes7DeSx2Gc7g
A4Bo92hINT0GOF5mwv/9qYxVsCkQhU72mE6vmgap65hHb6Wrghv+8fRdmx6VMqqKYUrZe9A+6XYK
k5rVl2uhRoxYxyILq6BKeNJVQbhFBLO2GGAp6/VdcOd5Kr9BOCCPGXv5te654XF+LN8i1NVlz5Oe
rJAeHNlQ8OZZXaUICvY9rGmKHR9CkZGW7t0e2sA8/gimjGhczHMv8ATfeWqHXat4jo8KGn6p6he3
G8JvnhFwyszpnuk5EDVNeJzpksz9rjpaefYxDqAyeKISdbU58m5M2ber1DSQJ1GXGLNolan0j5jN
B3uKKj8lDYLfkAzDkeyGdVL4mbd4G0Dd5Glw0Mhlvllxg6yz5Kiyn3owAUmwhT4mAIE8jrDmytRZ
82MyoukuAxLZ4mPJUjx7pUFqXrOdLpn6ilnz8jnauRrSm/Y01TY33bPmj9yy+iRjXd/TNDccE0Ew
NBaJWjH6cJyofePQqYkqPOKl6zGMp6cgwP7Xmkn2kVr+zK9Ssbwq5ugHw5gAQdBYG7qrHYBDXf1C
Qk8/kldSFdK1bb3DDzW+09XT7+rYrDCQATzA2ZnBfGOjzdDTedatYaG6DgbC3x7tHusBr+DOqyaC
tmSd3ZlJbojXVcv7JZWfvk3FiBcu1+6+NAqNm6O/2ESnXUK+CgFj5fYkoofY+82mazV0/nksWP4F
Vbceh4Jyq1jg7dXmCRCluSU+/6vW4wGm67O3hN9da4hvMY/EVZoV06H1VLiDaVkfB7vsjjSAd6zO
y+FjHqxm60PeeiW675/LqQx+GJyZMGf1uKuHRvp73h5n6+eDuthzVp3hr+TvrAl7zkZSHkuTI21v
G2TtIEkbW4skmUlnkCQuUljGeK5psweTG+f+XiDqUFZdEsSlNMXbBU3i/QDtQZlB0EqWZTRHfAf/
6KInUHL2WnFE2lY+VUudnrM3trbxfvoS5YQ9frhFlPPsSAvrltGmyL2smB9CwxhOGHTHB6OFi7TC
KwBuz1diG6SUucxsKh793G8+Qtqb9m6jq7eK5xu3eDRNNdH05qa6uXidMOmY6gC89h1lfSKoy4cO
z53BiWVofplzODwbhYufGO5we3Fl6WJvwgG1omjee89au96rVvyO08I/OVEUEN2bYvtG+MRc68yO
X7lxdOvGbPtoUxmyv4wKn1QTCGKi05S/9TLl5DqzLS+43EGgZeV9QGjlHvckie+5nadNGRV4AOhi
bG8pwK0rh2v0S4ii06FJBLeamofoI1ZDaobjSGZHrAjePrXm5impOMPCIEjzA+4WZ+MzxZxFaFEp
nBXti2vi4i0XTNfUpuGrk3jxPmgClsz+TKmiLlyxok9jPsFXrE5wG/QbJoHh2ecU+rAsX3fVnNiv
OcyXkz9YyWfILvwcB3q+l7Os8NtWZogDPLEuRYvFIrKAAsokk0ezGqCMzGjN5L4TV34MjhHBC6BH
6QOlOa1ZHlDl4uDtYNeSUPO9Up2DSRrndn9nzHjs7dJj2q0D2ivI9pANLhicozGoXgeFRWyuHAYD
r6NcxRPllYy89+KqVJ2o7BhXVj/IDanN/F7WE0eshAhXvVJJPLxZUBQ20kyiawCLaN9QKo+dXKfu
+wwEl0ODaQIP8LI7I5WcOmPsNCvIlvVW1UFyS1ocIcbkfdCLxh0sMfYzS6sdKgdfJPGttajJqEJB
ctn8T6tUG2m7EC7sq0VFzsGCTLdBm89f7MysT2Xa9sO2mDv3E+ZHtBlBFoY4DyhSXSmjzoGSWFSH
r+MQRrCqOd4a7vgUB0l2iamMX0tBDYQcHZCP//5q979e2v55Z/t//uX293/mavcLz/Xf5pdeuu6j
+Uijj+LnX5a7//ln/77cNR0WtPxT13WXJe7fk42KSgLCRByd/jm5ZFt/OGSShO85bFh81+EH+c/k
kvcH/wLfArlHvABL3unfWO2i/v9ltWvZNt9eKtNlyezDEOPf/2n7HwVT1UjbFfswkTmG5oyN5tqU
PJUhIMgPOjfFg0Xv3KquUpOaFbqh1mY6uaBAHGLeWip99ls7XqcDzA82XPU6ql76udgUA3EhBTN9
E7l1duR2NXyy2uiOZoLOzGUWGvHanwuyiYMn56Mx0TK49hAUH6EG2buiq+ersDlVZDVOiwRHcslD
0otWiduPWzPVBzTR5lfYDMhh8DkCfEGxT7Wc5d2bXR9TlitwHAhq7eAps7jjabR1ujzetl3i3SWY
A9c+WOB1bXFtRpgrfybccLC0gSPaWW3g7MupN58U3JZrWrnc38nBgmEduYAdHlAnw4rh13I434lZ
FYLukbCMV0iBH5ln8YMyKSb73KvhioQD4ME1zgccNbL3HjTtAhu3rvC9eQ5Hmzyr753UPDszVEDf
vMwld/PUyQ7zlJ2HAfOWnB4iWuwYK/oblUMX1PBmMzoK2ze0ydkNWU17MIp2peFmGZijnFOxN2pa
FlOqbjupkDCJg8InJK3wIMrkjtQGc52XU2UAEwUlsWQ2jfLJJ3zts6hm0SjKDygV02VqmuC7j10S
S5hX3bjrEkuf8eY/Z3hRT00ytYcR4PNljKKMEbWzOZx6XWquUDbSo5uP6jBwpD9knOlfBlu6+FRC
mWIanocW+Kh1NpVnHEtRGz9auwtAiiF7rPikUUBRaPVNZ664KzCy4qyK7CXYLSdsXnn8M3Z1szX5
VB7AaakClTQq9lQlFt8HCcVTlR6YVstMPpuqfO+8Sb37/qz2Ki/SxxwaxQ04ivuKYMjxnSXFuYhr
dU6yPtzUlhtt0KLPQYl6P5gMEk1tGwff1Ok+CB3xoIgvoe7FeclxJOUTLdMWpTno78FzpZdsdGC/
ZakY15bKrfM0N8SNsF6q104JEG2tr6Mj56PpCePoeMx1a92EtTQ7wTIdPmzp6VOQ0jJlY+TaD+nc
fdd5oM8BNKIDkST7uTU9qPKeLvXVNpLmewYsowFqPLf1ehgNWd/7ZpqNq0DnRrOh2bylvCE1CMlo
0hqB9ipKptJxX8wG34YAor4Nrpu/QltnAdsavBV1OqqIfC8pcHJVNtWW0KrWdkt1tEpEsDVi07ty
u7Bw2MQivk8iUCwezu2b7ubuPLi+eRutAdiYUHJ6QjO1Tk7atUBaagtSP9ro1eymCA3ESsRuaFgO
xqNaEK6WMu5obSJCpy3qNvmmRXIVs11cIOymN+p4+m0XjAXbMStjg+SMB0V7KMnjpYiUISa40rEC
62upKaX5CnxQu5SXel89pv5SaSoSxnlVTu7Ziig8ZedK9alNCSqnCH2J4MZ9lxWsHwgUsBXWYnqp
cBdijgZn8mw1OYr0UrAa6NqnV6VunmQBWiteilhjNn57KLRcW9NS1BqEmX4grzA+TFLqpbqTStcK
7yisIpewUncwarM5qHKIzik9zQeW86QteL7fLNfPb7FU8rXGHPJqLjWy2gYttJrHUhyCpWZWTb24
Dq2Qr1ZQ04VmkX6+w9AA6bNTlG8vdbXMN/ZvBHiPjKiuXmVJKbqBw+c1Xqpu06/WWwy/89a2JneX
kFDbi6Ue12wjvR6WytzaaUD+GC1FuvSvBrso8ljc2pxhjmVa2Ocwj2k1W2p48Th5WytpZmoqE+uY
kLJ5g0mkdnUr+sfab4Ibfxscq06rN6pW8j1KQLTrRFHfC7ft74elEnhScIQhD+ffiRb5332P1iqm
WvSj0cB+sRQLp4nbbfOvtmHPUFRtLhXEFvVWzlpmaXRKl4pi7Gm0aiy1xZS95reqpso4odNYNKMH
U7A9scZYzvAd7Z3l9+qrCRkT3SNA1XW4lCTjXAqfKSgYfhUtddhuQ1Nf16Cw4fsQbOvdif0rK7qI
7mUsvJrDH2T1dcce7lwpo6OlAWGj6YkfAUfmijRFcZAJfpCciKVjvzVTc5JABi9WORzy0MNQwkob
0FZz4Fa9tRbTSk4jyIGRHKZTYzVr3IkF+9+mW1QiKpOyU2p3rQnYq0NYTQjXQ4+jLC7tkuwY9cny
u7Bt2DZMoquIZgQAodyZezYHa8C2I/BBU+qnZpk2eof6W1FruSuYBh9tA1fGtsdIfRitatrmnoc8
OY0+Ct2jmom4ZXnf3kBLVZ9YENNDQBvFJ3jL/DRWvDwFn3kwXSQZ5rFyLnCA7Q3jJ9yvtpjuqNXZ
d/Y8H7CPzPtCi+wN3s5POCR82eAjGlV70HkGyrZg1seJ3DmMLhJVDjREuR4dw35s6bc9OUlpPjnT
gIe9MZLxGikcYchTsrfJkbFmhpVo7XKs7hGSq/F7DBr3hE7QvHJ90KLtIZdhrloMvH35M+/y4eCJ
Sp069i+QWiUU8ai4BalFtiED9xcOefDEG5DzmopFb4NU/+EJMllOW0f3VjgmG/5DNvXtaO0rcy5v
eKjNcxvHOWtXEy90FFbm2jSGodppQQuocDs2M75r+r9zw2afbBg+QKbUqVeN3birOPR0vKVuynX2
WJCiY+FgLyJfhNMootzgUBA4p0WiLdxsz2qrfOR8EReXjGEZZYKuEyrf+LrR0WSk8TairhN99cex
OSFUZg+Lp/hXzh1notXH1etsRPFqkZRebMg624Tj7tpL0YrYPGW7UTCV8PfKPuRBFO/sRDDOl7GJ
Grcw/lj7HpBsxJa8SvUIX+y6BOgKZkK+YXtsyrHc9CR8V55J3V7H0QKkQxqum1aPP3U8jr91JX5C
tKHGIxs+3Gow2QI4YXn1jdAlbN93h1nF8boA431W9lKmV5nD3eyIhqgK+xi1sOd1xuOpNXv7ZNfe
s5h1DqeGYIEgXLeBMk7rQYt5Fqkh3MhMFruo7eM79oz62jHt7QPsxk/Av7o9JiB37YjChWM2BT+B
U9o7rtEQXWK2eRv6/JmyOHxDNjqlmUfjvp2HbmckubV2o8x9CqG3n9GNicskYk420unokhWDH1Ka
opaFHtikZlT1p5VQPeWRzb7lMcQpU5dq3XCLWpVtIu97MptrIwsIpdWYBBHr+3itPdqdojgeGXzR
mbYyBWBGV6FW2ygwo13SYbXgdKUN5NrSQeNphq3VjM4hH7H/BTDPt01lIv4bIjhIqp73dFBZBHPA
g1SitbFyD/oYZ0F5UzrD+d67M9ole+T4TcZNd6h1Wj2y/uw2o4B15MSFWnlqdl550MEQchuP6QDh
Y+uQPDoRIvEOKuhY5eP3+k1nhHdxW5m9DGmR790O60htKnGYU0ce/XpydosKTH68IpOQBj6Pmold
MKcBewPPbzxjUnmA77TjnGqe2R0kWy9rvhlBuam1E90Pk/FeDDpa1ibyxQbEgnWgIUNRMrQQa27X
lTDHUyWjbtsEBSay0cFR2S/8SKwArEn4YKDQ512mHykWdZ9NFvybKewCfgMAkw3QpNOfTEP/lZnU
gVXxZ/e389c5jSHyz3Oa4Xlzok0yltjSoH7aEtILTjGwt7hThEzKTVJo4wUz7/jsWZb/NnlDdRXR
HN55k6jfg1gnW2fggL9i8Rfuo36qnkebPkhTkqUi4Qz5svGNG7l8EXHRxmKh7GNTXfsORwnMwPGb
4/qGwaGmILIoumIP5nBJsqfEu2LjR+iWCD8GWSKDftxD3rivfd1aR6OrJGgJ33oTfa/uyNd2tEj6
5QbHBRdtKuW9Q7/3LpN2Izd57c3HBjH9Oyf1cC8FVZoElj7KQd76rn9yOKFQxFOkGxp9p42co+lh
6AtyZOl8xuysOIF7cLdMi2QYU2kUubuMdCO3baTUn6KrgWoZePfGNVV0XrSlGaj8Ngt6yTZVTPHW
qonc4YwWMh0jWMQ0YYbCfSjLdri2eAAXo7kVXADii1+yN+OfFA0Pm8ox6IYAvPdYzil2Z4RheARY
t7flNLh3TtcbB4lOt2mTmR4Z4fXxvJ2IL/0a2vGtjeYaLKuMd06TZzs51tluCJmdXDCIsC7m+BJo
Se6kBpxPH54EvMlWEmXJmuPrnBY8oaHZnQLm1xs+koC0FqvTRy50n+bjUR9F6QxHPKAZmskEzz/q
OArmWo/PUU6nHNYRD43dq+lvp0/JKM9ooMl1+DpyZ1/Hb7GcxHkKcyiHwEHksqvFzmSWBzago+hq
Lyd5++tQ7y3ne+vrpE9ZAYnh5fyvDa87+8tMgLznr7JlTugp46LWNiTd3Cak/SvqbAiGMWA0X7OG
y8mMm9Eygthf00i/DCbQwfQt/5pWMO+OwNLQnXNXIzBGk0+Ssq+NLfXueEa/Rh7va/yxVFNUh65W
49prXOs0suneop9RhdOkfHAJ+gODkJb6gJkoVj45crKWQ3db2gn3E6iimZsY8xabyqeqcdxNZlT/
Qd15LMmtpFn6Vcpmj2sQ7g5gMYuOQOhITabgBpZJJqE1HOrp5wP71tgtdk+19aasZ0czikxGAu6/
OOc7j4adJEfiV6qrY9TVIzQQ8hMSKmVj7mCXk3q1sCwpmwtLM+J32rBXWLY0XnnmwpgQ+DmQfWZa
63KOcDvPce59DyVrw89ghuJAy4ifmrzGX30kTOOMKNqeSQFNJk7FdDv+6jzVry7UXxvS2nKyQ7M2
qXptV7WlomtDB4tsI+bVpakt1vaWb3JtdGl527X5xTE03MNOzx69tTWWRuS9laJ5m8BOfqi1gdZr
K72sTXW5ttfer04bq8R8jNf2218b8flXT56v7XmxNurD2rLjWnFfprWN73919O3a3Jdrm49Fzzil
HNJFyGy2H8hp2ehfk4FsHRIg63aPch0c2L32g39+olqrXeYv6vw/D1RqQ8BetuvK36AIPra6WUwz
NJGN+7S8Oq/Nu/HaPI633QOuo/LOyG//+VcUv2eGcoRbpgBjJoTPm+/+9hVH5gXQ65KQ/YoXfhBk
n7AOEOl8m03JYm8pDOtLOzcktwMNiz8suWDrF+SKLpacnHWbEO7LdASPj/ubRf8SstohU6J2zQNG
eOOlY3vxBcUoJ7cqwTVsM4FAYEfyV3ucmqq5OkWbnQkZm05czLxuTAc2yvWQ2S3egeSNiN65SPeI
uJv93LGkJu5i+QalPTx1Y5ifBjbIh37Oja9FMrZXVGjZAxjK6GLnGksYUL36KfbV8i7GJEVFMxJE
giG0fcZLur6OhZ2//Bcf6m/kJbxQNmwnWFNMUQXEqd+kqZ0PjR4nqXGYe0+cS7CCvU1eiyQNcGfb
tFtEEsh7bPWAxKx1hyYTLQ9kAFpvnReD0mkrN/oxD3o8QzfA2uNZ3b3HUPaV+q56drz6SnJOt9Mm
XkJqYPwX+HjxRBh1xquZOuyfXRzQZs/sADMeiqlARYZ77ryorHb9zHfl+PZAgRwu5Tsu+xxfbq8I
wFnW+yj7dTWlv66p5deVJX5dX/F6k/nrnfbrA/uXJW78T5zWY5l1HUIq/okOO3j/0b7/jVH9327f
ydP42/F9+Mx/BxL++a/8+9jedVBeK4/huHAFnZbDDP7P/GEb4TXvMF9TIrD+lUz8d+SY+YezCq89
Uh//VGv/fW5v/sHMSJnEdECs/SXx/u/M7X87vKTPvN5FT23ynTDl+w1HmKa9PTlhHu7GOiWFYToo
ETOxtgPuicNfPqf/pPS0fq88Ffpx8PEeX5DHno/iHyvPiCe9qmUX7mRZ7Qd3eJwZQHSZS0yR3MN+
fytIM+vHF58myF3uooLkv9h5xR23Idf0MiH2xLVx/C++q/8gSV+/K8denQv8ghf/H7+rsE4qH4Rg
uKvjmROuObG4AL5qu3ukcbsFbINrFFvVKsRsQNIjPLvMijdhVB8oP4Vd/7vB4f9pz8Sn/tvPhM/J
s+Gfsy3hZwJd7h+/oyJ2a9KVonDXLTpmZiZOUSnFIwO08I6huLmppUFUB+pTOgq1nJOqLLb9IjUR
9QOhhHH5zUDhTfNt5VhHvBDNcXLCxMs5rTEjluM3d/pO9mww4ONSVXkDLDEhxQn5Kch+SWghRnFl
7NCgMfMhhJHqmjSFoAGuUtryxmyMAMP3vhZlkOb4IKFQwAo/K+NxtKvHJUR0igEZuvMW8cXOwEs3
an9DNXSOFG6nprp2ykY5VW6a9hU+1Ikqd7sMH0Z5gQaFVWp0zjXJfLaAsPw86OFlIMiMAqOLt/Xk
nkT/HI765M0QUAaSHdo+KDom0330sOAvctPb3AOKaS5bprNIHMIzPViQkV7lh/l1ZixVDMh0HHc/
0YUquHZbXfT7BvfB3mAvzj2PbNbfGjHSZ9HeDJT+nfNzApPhCb5mPiLNGfZOU206+cJdcsZMumWX
crJyCf8e8EYy7LH/blNZHRk/bKMcyRzPkWZhXjfjY9VKaHjYmAznqHtiP5dxQJ3GXDttA6v5iN07
ZpdX5iGbJCGUipmYafrnGnlmNsBrB9FuJE8ZaHajvZ1rd6/8+B212E6ID8aR37ruO/AlUH+rU8G/
A5hOVs09kYlHzxqQqbt7KARbEhr1rYky7ynpUf65hXEDek4Ers7ujDodH21GwqvGXm/sPvTvIdxU
3yOnIU+zrvnQcA2maDLL/LPD6f5gk7b67pMeCudCri8N6GRwJvHJHcWTa2n7q8rsgQog0m8jQj5q
ND86QFuCkQFtMHoucAiAIHZC9h4lCDM7Y8G0CaE/PUHv1XtLdW7QtyAANiXiajLlajW9y3bOj+RC
aIG2f4hu4qFOrlim7mTbqYd2GdzH3i6a/b/2/vuHnfb/R4lTVLnin96Qj+/pe9ezzf7rMvvPv/Xn
jej9QWHp+gJZsfS5/P5+ISpAm94apCPXGkzAUPm/DE7H/MOy8Ox7vrK5+Zz1t/5+Izp/mEJwWWJ5
gt9syv/WJttT/6EStEleMNmIM7B28Ej/dk9VJuUsxtZubxZw+A9GOKHXtHPm6ZvOr9Sp9BhQoF8e
OnXw05SY0EaRVxIURlbcdow+og2SfO9iD5mzZxLuXFXjZ0Ce2LPmW3ds6xWHKUto45ruBqL9tNfu
WgBmjTv2h7l12IAzw2UkHEljJEROhDe6HdfZErr+U+x3dbvTukB4qzAzwvWcKJCtNQ9qR5xiRQIx
WPBua5ZhdOVUVx/IaDXyX388YAv07heUPDcN8eu7gsinLSLualc3Onsc7Lr5DsnCeEdlhmLEzEP1
UQAMYOQSYa6YbSAYvxwI8T4SXfRjMN30JUfAhrPctAm4rkeguAd3KKYnVC2ahELZEkbiNvptnuuQ
3M15ekM5M42bkb3YLVOE1gyKkgElzUa/uNvMtskAzXvDWcDqRVhnB2aWxOC1Fjv8qHTqu6Il0gHD
j/bf6grC1rtZekTRJNVsZLuRJR8wY9G2t0pY8s3rLVrwfozpk4VfGueuc3Ly5At4+Sz0/cG5gFHp
ykNHXM1K7yhbVKelftGaXQcnHxC+K62/qDfm1BZcE2X64fQ6uy6pqO/zpBU/YsvCP68lWjKNyrXc
jERUnWuw/ivieERCm7MjK7oyPwyLR9RsITXpg+XcgPE0Fy2fY7JonhvEEWzWYAX5G8Cg1SNNd9rs
+A6m52HsUXTVTfyQWSQg7cO59zFJ993BQSf7mjIxlFhayFnxgqTUkxN4rl5eNHKJ9qys0TK2RG0Z
1l4jnbRhvA7pu+wG+Oh+hbPlYrk1pFfZmiU/M2vAfWOa5peuGUhbCj0111AmU670GoNIuOlnFyKQ
P3vdM7MULLaaJu2N7Zl3TRMEjIgc25BkA6hoNQ/szIS6ywDfbawWceFhdUw3bDpTp971DRSWgFSW
4SAIg792BdMH4qi9r1naSfRbMV/VgOxYENtVLPdh2jv54xRx+2oUI0eMbs69tbKNpsEkJynvuAyA
ynjlG1v+7ALkj7R5q2rV97o33cAqC8/Yt9rpz0mIgnBrTmiZWmx8OzYc6s2PUotNmpVYZDtjKq8D
SAJQQpzazveqsduT50x9uq/aWO/NytSUi1xJMxiRPnoUiw2LG06i/2pi0n9Jzdz7UGgzLu4IzXUD
IMbb0HxnW1F5LxqdZk6a7ShggFri3SXRyryL2EkoIHkjeAl/yvVdg551JkBSi3M7CKI9FuQXKXqN
Wr/KKu4+4jRiY5S7s5cf2CZO6d7OFs2EfbYBLWCB4iuH5uBoSLCZG1+aOholAyaX4Urs+NQEE2wZ
FK9SR+YuyRzGQg30nJuZ5EorsGub/bLvcZkTa+bxmses2VHJm37GLcwD+14JI3nPjNqAqu/H+Y+5
0VA3/ci5lrzhC2ysLv7eKlXdum4t8TCayzPocERnNlSc760u0jsUFUoQV6vAPbEzG74ZqHo2aSnw
5ZiVj6Y5jb7yRK0hHZBZwrJdMLlJc37LgDzdggA2R4SRjXBZnkX2QULr9XfSHb6nLXQhEDrNlhiM
YlfGUzYFOrVIRy96a1DXCGbqE4eNLNApk3bupYZ3a0MC5Au4TXvuojp7TShNMAv0nrtuZwvjpTEn
fYsm1vxJqvqC+yklbhDx5+pT4/2+mqZd/eidhoTzrElIFSD1CGS4AJOO5ZsNprHXA6KRgyhbXrNR
sG6AybvgB2lRIbPNqOQXL7RyK7DQiG4KzZsiuq4vd11axRdHJt+i3iqODmPQDYtF/Z5Pun7S4yDI
+kEsDWPXeELpToswwgQZtiPKUDwmfm7vSJwd3qU/OeqYTE5572cG65dhmYeTRao0+utmee1zV4NR
q0YW8BgNyyOjR5E8mQIAKn82TJ6bTi2M9WIv3/tc96dsAl2I5GipOY5GE+5nWLt3lc6db0hsi3t7
tipq50ljs5+8hBC6HsU9yBP8SY4cy29pXkxH1ikTlrCxTn4gaI63cdJW3s5YGn/aDiQmuV8iQw/U
5IldBLIomm+yFS4Zql3XxjgkI70VRkH1mkyhpBKuXLhoTAbrjRxm9Co4Re51Oyzmzk1CujqvR1u9
IclIvXRKCS5u9OjQDsw9xlOy3/wQVqzvThfbsO0jY8UYLaOOcbF5oChDT6Ku6fUbPLcRKH5RrVNa
UaC3Xd9DAy+MW14lwoK7vlGPOgf35SiAM9Hq+IsqgxV7jwEqkeGFsEVdbqZO/JjI1zgB2Gf1Dq9h
2w/1HIg5+ZaRtrAJG/dTTskHxj7jYCU5ycBhVOit7hKsJSDvxEufJY23q2pOYmwMnd9tGN+Pzgk/
SUb2nmjS+jSKkC5HGtVKYDSUHIKICrwhvi7Xy34CjYXvOfZ+kNVcseeGp/cc154BUQuzsTyOGTlX
twuPz49QKbJmxoFSR8RAZDCadNUVA+hMd2+mxwxa2s4ekHDrmDAB4jMQrPNCdAGi5vRU9bm5i8Eg
PUI3YHcxhBAbBj/7XrBC+ulhJXjLPadDpzFDc22capstSiTBaKaQEwSWt1tXVWpT+mMJX5YAdviN
bZmpKzxBw/gq4oSJWTgOScWOWWPrsZtkWG4br2SlXPDAMNGmn5l3EWtra4dFcjrVieHcNtYAFTGf
2PPtKks7r0QcZunJB7X96TXQrguVA2EWXp2fiqLzHST85uCC80HNtLA7nUE3tj78itq/mr0NXqm3
NFSPunPOsm0hhoRD3H/UNnhCBHMAx0zb7dNgFr1DhrDh0QZq8nbdQ4msENivqalD8WIth2KW4URr
26c3VstYYQODgf7LntQ5K9qQFWTlkc/M1PyZImpJoOVa9veumdtXsF/xOS8kCaalzW59w6U03Uat
z1I9R7VHwIu1Mp0hbKZ32rXY9TtK9qw2jXgJrKxv1XUgW+KEBcIjvojDbj+O7Xr7LW6Tc62afD07
h/Mic17TLStGLyhkrh4A4DISVatKXHpJdUJr475CFNLpsbTi5mFI66gKvMhu5x3hqBQFSeXOyV1r
hchY0q7VW8fuqF+U3zzYNebjsAMSuwkRPLBARlBec1baPCeDBE8HlkKb+6FLA3h8IWOPOBk3BoXp
g4zkeNEhHw+uQAt/K8e4fM5GqmKOjHiuD2yCs2bnxcIrXiLWo5/wWezkMetXJ0c0rtVRGsOFPYS6
z98pFEhaGqY5unp1jXwGu+qM2tzCzr/LigRR4dykZJ9zQM8QlMFwP2ehII4n5I6+06TNXUo9QKix
8vaz0NJ6xIYQd4FV+/lDjN38K6Zp/9keJohHOEU+tTOYX2fDGy9Yb4232QwNojObdHkYq5Q+m/Ul
ZW/TE+5TeCj/ilLM82ZcqUFmGc0vVTLnLAG5Y17gKpCiRSJ6XnAImGl2qECfQuOHVUZyvNPXOZWy
mQnYdzlVTEc6a3v0qP7Pyh2sZoPazDklna3yfcNCOwmI9IFkgomhmcF1x1FyXnryhaQGcX/Sgvze
TQJ3z8DflPs/CQAovneY5ch9w6xj7zp6KRwEc4wtJR6n1joQakjwEE9vvHJk8nbgzEoZRcllHNmw
WmXlG+9V22F8JYLMq/Dr5zI9xSUc0YkRE+1OAL6k8rCEwNd6lBV1yQHDvl0jOZzQN2/SUL8Tf77p
5kil+7E34LpNubuLbISMh6kU6uTwPvFgLoZXXGPVk0auHTE40GAiClancr2N6ckvsMSb5ZyFc/iQ
YQ7KMZtY8Pu5EfzIvgIXNkJMw6zhUUBF2LJMwmydrVMMA51KTizDnGzKNaH1Jl5I1rqrqwTyuG3V
hbjtAeAw1rK6Ib5jz6fVnUrCcDymLIOCiXymB5TMjXHFWJmC58tNmzRUXB7OvpuWODmhHE3S1ySq
2+IoW6CH0BlYTX4rltl891m6gLiatQy/ZSoqQwgNkeVSJPUOdpQuGe0Wc2LXUWa2E0owy2anRMTp
bJvfHDV07KPQs+ltE9Z2ECZy9q9c3814zDwLYdVc4B2yZWcdKxOSUc8OnaljiM0gLnuQ/nMC5mkf
tzWukVLoKL2pBFrM7VJYVc+Q1u7gaMSDEfQRLqi5cPzw7CD/0fs6RUSz9Uuy6s8YO+cG2iGGnJkx
pyqynYGiuXubMsptVHtzcYPz1na3BpNNcOUMfr36XJrl7B9Dz4+xhEtSEJ65pFR3gqJbUuaY43gd
Rlh25BknCFe/xmoW6QeovaF6iHQ/B6VC/AsrLlw32p0aiKj0/beU4o4V9dzXbtDx38Hc3CYzWXCR
54IkNsSSQ1+F4LIBWtrvXbvF1LF4rXFJiuzNT8GmbRqrju7jrOZOFGH9zXAmH0e+ueAQiR7ToWHQ
ijcIzGfuE7u7wVaTHjCy1uxrQ91c7L7gmiphM/xcEmq9k4UAxggYMawB7Xk8f5+j1nEY0FlEhWbm
0OHPGfSTthq1JSzQ4f6Hd4UTrMHvNor8UUfE5wYoiLNLNPHGUrWEgMlCb5YK4Xg0fKCRxYVqoTJd
zefkaW9mWuH8mHQQCLbdMEfPXeRE/DzQpUi2+ZF1N0Pps6HrQeIO+NvIogWWYSMAD+0jykYHZaGF
NKcDqQ/uj4ajH0ZdY3dfO0vQMWVp3b4XhipPBgBrIsLc8OrWOXbzvlgsRWqGbPNgKSQTQjJRH5uk
EoeE1EvcgLO5fDgWH4caVXvhuey/8Mn7RzKYTP4+2afVbly6U40+6B2rNLzYOelfmJr26QFpqn0e
UBpD7PVh1WrPyt8i7Eb1NmsLz9y6lUWC6jjI2gzKJmUz7GvdcC6RY+LvDf5jz02U+RdPLfjXpwyX
Mfx79MBBTbMfdG0IhxUfM07eJUnNYRWhhpzYja92/9rp5v/E7R7FwF92Q8F7//4nSun2vfj83//r
38ofMau9+/b9x2cX/3V4af36m/8+u/TEH66SvisJAwJ3Jf6yzVP8jrkubVjxCf4Qyqo/t3kQltYQ
I5cd4J/+nD9Hl5b9h7Id+Er8c8RQmv5/x4PzO9hz3Vq7aCktpqSKtBr1mwVH8bQPkM96ZhukZz3F
2vO+LC7eFvCFvroTZMJ0ASIlJELmVO2F2ac73Pky+MvH9p8s+jghf9dE8G243jo+lY5QrLJ+G6Ga
clCJMfs25XLXPXOx6IBUzvA0RIX9RWcJnlRg2AvVLgrpiZGSpowglszCF4L2s0r2hpVVhyqLkczH
NSkQOH+bTQ4/JigI/7hn+hCeFptF5QxB4TZOk7jA/L0SGcDXP8Rda2CbtUuk1kXL+W4gLJ0i9pxG
iyMcUBaxNTT3W3LZx1cL+rK975Usd2yA/IvCMTJv2LWTFcOfp1rSk3Xi5ZvecdzaW52K2yJBGOOp
FKc2DDzn3ZRmfoNqOqQDbeicNkRNXiZyLRI1Tx9IGJcfVgYK1+chwA3kIMbPxu4e6zJzyzTOYAVE
Y/XRu153QpPe3sWit85mZRG+uIIelC/6+0g5YSBKag+CLc55VR/BGmEL52zG7e/T3qRiJmYmtdSr
pUErVsq0v8ajz5gB4/4pLVmtLINjXxvSbvb8EfMwYeENqjFuj50w/WtkOOMJGxWOwZlEYAjEQSMa
fZl7A5lVInBVj82avtgQzkATRVa0O6LK6wV9k1T9F9mYNR7jygkIuY2f8nKUr+7ihTu2d+DxWtM8
0vYs/NcaxtCUooUyxpuoyNIvAPSMl3Fshn1KSXK0hYDOVdnJrqmQVDlLO/xoitTbcZOXDwIiEE2w
MvTNiIj9nEQO4A/sZN003ogYck1pXLyGzR3wd7VnTn3nEmaOFiqLLHaDqP4LLiwSXuWO+Gv/kDmo
uzsiLgMRs1BSsRGUIcPxjjC6TnUUbwl3Rxxi6dRdSRxUCwRwINi97tvmts6y/jVJo/5Qdj2Gpohk
8bk0jA93IQcPrs98S1At/KhxRXPxWO2F7oCRM2hbf6V+RG3vH4i5ipAQrhEShjXMN4BVMP3ElfXA
jNK618Uw3Zk1+NoGr2tAP5lsCr+8S/K83cSFXg511PcPeS7VIc/F8gA8ISUSCjdR4aymcLUk99lM
Tjlmwmjn2PDcCXFno9DQHkjwtkHLlhbbZ18fsefWoNmBD/iJ22ygC8Q75Ps/nTGOdtboF19CirKN
O7cukzT+dR036jhM/nKd0I6fKtl7hxKQw86hoMITTGr0tjB8fwcCyNtOuGqDFqLSse0Nb5dFMxe6
i4sEfgB22r125AC/gFHMbcHkeLWWwJspi7kgTDh3zjMhMSwQJ3WXdCj2h2lk3dHdTvVCoTtU8sar
xHxIkZgGYlDWTeTFdz6HzI7o8DtTF1sindiAmqW+DJaTfIctHP8sqGK2ft6XW6z+4Cmt0bxbXKd5
jTj1j47OFfPXoYbeIfrTUg4SpYKr7jq+7S3Y2vAxKoXzbtcey/CU6MJ+1Pp7CyvqkZPZO+Vu1X6z
6XLxcMEK8UEJsdAmhh4kmohUdvIEceg8/MwpXK3ng1yaYgzAzJOS0LGg2YdxNu6Z5Hg1cb/mWAa6
pTpmShbBKTPSPYQz1PiE/DJVCqN4yy7D7Rl0mE5O+Mvg9BvLGVUwJOGzI4zwDrEduCVb+pW9wTPP
zxlpUy/fCsvTDwTQIk+2za597hqWVhnd9x0NNu2eVMMNDd2850ybDx2W//M4F/FbbeHWBNzb8l5T
oPcblMHZfoEsHW1pgtmFrbiPsytEKHZO7X/OGev3E+FGzW5EBnb28k6+isRHiZ9WBVSF3llrIFcd
SgGJDzmlX/9MKtK5d+HS9j/dzuuYnsCwJVZTH2tV3VHgvtDddcfSgPEF+lBuGPEUTKxyC0PirKAh
oA0Qb7mbKX+Dgqp6FcDAT35Kq44jzz2FI0t3VL0g/u1wzAME7MR39U2Ys2gYB+uAc05MJ1T7gw+0
lEisT2XITj9aaSGeIrgdoJBqo34HpT69h6FdPlcw0W6aCPTAJqy4oFHK89UKfxm/1qloDS6pUDxH
w/CaFb5xmT05hRdTzO1W4aRVWwnMbAsZfsTmvT7/dG7OYwmXzUOwDWZoSmb105pt+chV2Hmn0U3z
9IFpaHXqXSt50m1DSWDpSQWO1djydij85iecU6TFMSv7l7KZnO/z6M2nvmZAPyfIjdU8eJ9+gRKR
0QojPERt8hqmYoo3RjM2T3ZMzGA58almGVl2zADERnQGE06cogh6hGoeBaf1E1KfBuetgSoC95+k
2Yw9tQE7OYGGCJ2jkEm0cztqF+aRLhJOpKuwAHP0vFbopuchezT8Aa8trhbmqlmEbRfHzzYlFM98
qfw2eSOIRRM8Rw4UKX5E2jm7pNLym4LzXN6lC83DjtwMhoJd7gHks4y227CrsR4sUEkct0b0EI9y
fM3b2vrqGKPzROJRcfatTu5tBzF6mBvR1xKhBSvCDjmKGvgnqLXGFE1NOwT5lIyHprJ7VmkCjonv
GQ9ytquD1Wj8+IDNPt1ksvfeYMDwsqNw+NoSQJIGGdSadfnJ9G3OCrvfLcvMJG+JB1QljJKnI9Br
NDRRdAq7akIcYox0j3P8EtkFcd4OUgwjJoOpLASzRz5gJh3cnwX4NMOfQCUV03LHeEoFbcPueAth
x6AW8w4silC4Q4Muum6bhVU/XWoAw+ibGMBAOWNWMJ7BVMZnypkqmHFVxl8oG9QXAX0CATTwIjD5
qWvdZw1jpHFGypKRKtltUwxGj/ytvUzn5NDqNWa1kGWA0MO9jFFHIkU1R0VQdm33WodgTsJUzids
m/0+zNqI68ghm7IBCk0Ca45rZonu2E3IfS94RgXpz1dF446HiVlEQgMpPmPzNLXlqzL1O500jODs
bLuvLe26jVCIITiLl+6D+hIsqCXxVpbTPMBem5v7vE3SHSP/HLUpbvlbtpEK86GpYSXBLz54RpYG
9Gb5gYhwcSSOQB2kmXhsE9XQ3JKzEyM20mhDNeHUE3TB+R4qjl2BilrgmeN7u49lbLBfcfL0kmR+
9mXQrNNsMksOklDBE8vO9B79ptPt0rqaPwesBOAzqzF98Xp/ZQth8Qv8tHOdbUpSFqRCC+jOrio8
An8mrITAK1kxcNUOkvgSr5uSbcoSj9kmWZjAZ0bUYVWLjK5py2vpavM2HV1GJKPOnqcqduheI6Yq
KOjd8OiHYQPsFPn6FekiFCFrkUf+y+NWkblxHBzQ+Zre/V6MdkddzbbpidMGTssSAx0K4ikJgxYv
C6lHgFUi/9pm3t5xsxxhGcqFKCyj6yglSwmdG+/LiHYbRXNvnL00fUd3DkHYcWOY4Iudf+rSJVOR
U5Hbn8jBDTYjugd27axFhVneuIBE8RgP5nNtJj4hYmFzqcxRXHzf6PemsPUe8gbPxFSFPxlB57vM
ctw7EihtCmgXuxPQTYtTtDaeDbVwhoCUJPLAR8R/yOoCkGEum8dlVKjIpt52btvQJG/RXxAgESr6
MHOKH+zIMBHlEjdRWGXOTrz7JH0FJVRkNsi7rJqbMwopOhcrkNYIloWiIBmdi8NPiLDGzIVua1Zf
awzSO8VFg4usSXdFEroYRfL42dLtbcOQe99lVXfIKxutcEdzc21llF1U1rocJIiojxU9RuBHsX0y
hZwfxCTZYeXlJa/yr8ouPo3Qu+sHUoIyK84gT2bmnnyy8QRUnJsp7YAW4u9WVr/cEZVZfB/mVt+B
5MXQTxVwjZcsPiovGs+u9ZExVeoJANlj+t2a0TQfHUPE9FLLGKzr1r3FhRRthmiOCT+JoqNKgN6F
NnuJ+ATB/BxjmW7L6JItibqJ3Mi6lB6kTUTRY7ZdalkHOYIESsbihzc2ESuJYfxS8zLtyVustmql
dpoNxqPYG7KHaKaiDdtIXDxSmB4EtrDzAByGcMXUD1zjF5AmSS96xlDBtLa1KEEZ7fEYIuKbeTSM
iQFRBcs+zJU6wMk9e1nP7BmNjYel2x14puftSGQDmDk/OYckIW1bO50urS3NANwciNKlqjQTtoIt
uJE6m0jItt0S3i3IsJmOImmOjUkNsYjBg6kCmJxxc34K4Qztw2HgRx3WlbEFomDsqi7GMkN64qsp
a3GAMWm9sOwRW7+J8nM9LTogOSm6yQ0Jh230hyOoHfub53jOC9qM+pEKOD31YTI8Z2VYnRxyjB6t
QRPrDcKSs5IdEDO2Nr62fRrjVG+WnUnR9t2yLFpo9r4pnIrqhxM3pDaI/jo16aUrQsxqZvhhTtx9
yB/IXsN5khg4m7VxIT2cEfIIXMCYcxefgGYBhgDkyUO/EZRRk27xjaNBdUtnx4rJC6RbX3HEWjA4
q0CZIcIEQlBcs2C0OWXUCWX7bqlSILRyQM3T4p86xz5O2WKcTQJ0d6U19re933dnVrmM9mOWS8CB
bNHeVva6q7/RoHgZtu1ZtL1l8XhXsh45ZvH05PnpHtAFkuT2iCN3vZawJIfYp7eUhi9t5L8WhR+Q
mPLeMtjY5m3WBDiI48d00sXR7xUH++iUV5GNNs9xW518DzubjIszm9jlotrY2LnSy48F8igxZ6wv
0zgHqF8mJ5Q90cFh0mo6JZD8GVucTVJWsAxGA/SLMvxkSpqrBWzVd8dOq2uGYGzZJtCUglRzRtqm
cYyrlBBXtqiHyMdNX2VueJlINd0ZfgTiwaLT3zB1dK8JkaEbb3KDhQgiePQZSE33xEbyYoE2XZyi
2dVWIr/WtdtfTeE6XxOETpy5wMR20sacc8iKoiAQLZy9NUhZo9/ukvrZGP088BxalEVh0ygWv77E
lTk81W5xn0lzs8bRbr0Bsqmdnvui+SwnSeJHNhuATTwT5C17dLP2gqa1ij0jpvqUehncCFApgZ21
881iA2EGeWNiEeP/E1UaFhYJLuKVNSmQstQj8kTjY0PtYgWli3o5Iv9gaCZzrzBPQNI3OfOqVwfG
yCMimo4OZ/LnB8TnLoHzhiJxC332YUwQqI6jyUePp3HrDqSzjoYRkQLbyitbNPyntcImPIceSfTV
TZSYIEisT+GIGDyWe/b9p8nMgiR27ueEzXCffKB8/WTGrpyNWVcU4nYzkZGiInTwJMvvuTaN7Sjz
KUhtA8cfRHQwdZjnNq6RkJsdHjMSANeN+SgY/gI6A5NaHD32XCXq3R237Sf2tVujBL7WuctRGtYF
u9+yodbaN8PwBmALFd/kEBxCNHb51FrmfOuE8ZsmMg8Li/HsJL68K8C/vBvSqY/8/qbMKFuQezUn
DMooE+PYeJp856b6P9Sd2XLb2JqlX6hxGsPG3sAtB3CUSGqy5BuELVmY5xlPXx+Up7pyOJUdpy86
oiIy8iKdNi2SAPa//rW+ZSFMx+Oia5fyjDEKP7NtvnIDD1ZSr+wXi4q4DfUo08aZjJeMHMImJiK7
nmEzcIZe16DQp6L91emNCRRwpK9Ksa2kcacG8yw/EwgMkmVVlozrcMieKrrTVok9rCHi4fDjAQ5h
oSQjZu1g1b1qpSO4erAARoPP1gCmcvvIkN0QRAL46kN6cI32OtQpRz0rCq9hYz2zU1g481a/MVKd
86KBYqQMkzazJvLYbWFmiMwUKc8Q9+Mom41DYyTAx9jf2DmMUDDjsqYZd20bPSySM9b9UzkQ5guL
/HExS3ZYzX23cVl5dPdydsd603TE0LrCyJ4wsY2vbt4eoawkq5SBgwbycS+rFCJEGZn5Nh2n4oDL
r/O0RJKBNUJznzRGf63mPvgeQA9Yc4X+YOR/IrC+Hq6QlVnYfCh0rqchYvwzOPoeQpShbT72ZzZg
DNRYNTx9VM5emGnMbNIRt0Bu6bqifGHdP++TeMJEGdHijO2HbEje9vWmKqfybCoUM8YGnwzHLB/n
cIjW1IKMd8UsoC3H8KYP1LSwitLGiN3QeNYA5BChjEc+KD3YlaYfbZWpSLdWpRU998DE7vmeEaCf
zpP0qXL2xbwqYh3V6zDHprPl9zavTSO0g8mkuC0sHQi8Pqv3cvabfe8Oj64fP9L7HO5UEZe72i2T
F426vk1l19eOhPwqjnSoJPQrbnAD4oXlOc85GZtjHNIzaKblg9T7fjVzTphmJYKVrlX5AVh/ua6G
4c0ueoC+3MUPMgpoVmVvuQnIYiIRpwkN3sg3nJaH0XLOKiht2hdp/ATEHPP/+RYiVJgT5uSi+FBI
XasGY96VXp/xxuquMojboIe7uhpQUmFsmGbwLZnt5NwAtj/mlhzLbRPF+O41v8mxi0xjvBuSMPle
xziG28SysSNiUC3CpNtkgidyNOv0vmOKMDXuC4D771yMcLCH5HTK6ZF+oeJxJoHL6EEjiGE8ufZC
7ja/KN4p6+bz2HAkUwvkux8MmgJUAPk7+6KAj5NU9wqOw8nHU7cH/G1tdROaOLO8+QLf0j4Yraw+
mxC4eO+L5jyw7tvlmqXfzNwOLposrF0VEoitmpwDkCHhegRfvPK+zOyzTmFPzeEPtBaWtBiV4uwu
iHMM08ExnUzziRt/fukgiO/6YKGi6zA9CctksNLHL246xbQQxsKq5NGHPxW3E1Yru+pQwoqFue5I
7hd04Q3Js2k4d50LsVhNQ866Fn+uMYpfPn3EP3XLKMINUSz/w19Y7hxD3mIXeAd4jpvZNU+mm/Sb
fhG8aBPYt/NEZRpn59M46nxdbYQvR+b9fsTL+KPEnbt3ShGvKS+myaJo+RYtKPmAJpyr3vXAfvW0
haFJ3tIDSAO3EyjA2pSYz7NCecC8ynsnsbo1+2u1a8P2uZ/A1etm/Q2/Krh0HOK7xLTl/bwQ7SeK
Br6LYAE76TDzdxbWCzqPBKvc0mawCfynMHTdA7Z7jjsdXDSnO41RHHPDG+PjZKrPiOP/AqEnQPPF
0+eRXa77BbJvfPH2IUFipWyN/CwXS52ar/RjubeQxsu1sRD6i9Z8pweRLyOE47txwffX8VLEGE/a
DxChwdYvoPG0hrNnVd2vOCWJ9dRjQsl/awHwYcGOvWlQgiAYjU1su3r+TPukfW8afP1ypQVHKgpI
xhPeogErvbWR1MgzGbqnqvZscFBvHHjf1owque1NNrhJk2sgHEYXEUM8haXk5ZKM9UqdgIzXZE8H
SIyEX/PDpyWGLeuC+VA/GwpEOYv6+Gg4AUNxkrgoQ5ha2nx8MGifXYEAUSs1DMbR9N3HaWzFKczz
R52LaAUSx6t75W7HNn0q0vh+apeUm8R9MsKXo6U4oVNwbXezvpeUo3omJxzuhV89De1XZwP++uLk
FlYbogLUpMSnAVIjoWy6tZY2iMnV5EcBbnmjFaG75mBBs7VrNwdKpgivOSU2vmlOSq/ktnhH2tS/
1ksJxdRK5w7QUromwP5sB/Imm9j1OuH+kLFxSuGWLTatnbAxGNSTdXM5F52APa3rKiKYUL9MXfxq
91Rwlg1W4qoA3pLcfBwqG8gC7mNtW9naXLoyLL2oT1VDf0YfyPDFNmO5p6iEI83Ss9HWzoa+OkXe
rKScYmnjyFp3FXS3kV3THXUe8THmWvuRjX7kUypbcuxua7SXzuYKICx3JmvEXgxcHjjgsj0GvXA2
o1EfjK+iEJq8op0zsRLsIk4LK0q6eJzQcpYDLBQ6kiOlYlaVUT+inMx80auQUhJssPbBWZpKjK/S
khKk3Zk/ND7mzvTcYrxGIDS9gvvbnfvVfKJBTXufEw5mPA+HWzTM/QEyCW0pbt3qC+JEe2LupxqQ
r/ILMSpc2GjsIUbvsMEEvjSwBJ1Iv8vR7d9D1TLXIRq4PUuhBFLtCaM7DOkwEt2LTXvBpf/qeZlA
fRXsmIbw3qfsAfPhVytMWlruU2rgZKEZjtaYbCmQGXRlP3ehQRA/VehUeWDTCQdsDhISq7f0EthL
G4311UwDrA14mXIiGmtIw0fPeP7rA+sojnEA/iKPiVrsVQerAL/N0n6jTIpw3KUSJ1b5e4jfed1O
7Ttj+VIRGxXxRq/M95QDHwu3GcFqBXjOOTRL705vflXw/FbHszTzTLIIOVLq9mseJ1xL/LLe3GmW
bH7iF4nUullafsqutz9iDuTe3GPVcpY2ILas431X42u0e3bCNUYfr6QA99ZheeNqVwFflErx6XUh
XUOa5tfsn8JpHTusfVC6clAtFrQuknDgJGksUkt3EWmQBzkuINTUN3J6euBfxAsntV2IqShroVfB
c55n7KBr5wutCoEPx/v0hVxVcgw3yvDtn3hr235LP3l1bBZOq7kQW82F3UozjnVJv4CuS50zq2gw
rxbOoK4Xxlq3AozoCwuWjeKuWuiwwez8yEM98DCmxle++NV21tzuUJiFedH78IfbLECKiDPtCpf4
myjbDnJ9UG0xbF+7sE8x+2cuPqeZrEBo0mKPa2ZTTa9gy5OGbgDLLO7ZCJJb6SrjOShpMJuSeudG
zvyS9yR3xqAgnRTT4zeOhlr5aX20MLOtwRTXe6ZAiLKW5j90oJW4qOT30W8x3cY5pmzd7eu7GM7e
dkQCe4DKk6T4/23xxLJp9sIw9m9DPkReO2rjGwHXX+mM6JBQK3fJqSB/ySOeHUUCZoJ0V3TrBtfa
9bZcauPcCqA+WxQ5r+PZd08RsiRTRxLHT2Gntw/KZOFDrUNE0XJGm97JdieOBIFD/gHv49Jlqdb+
bI2P45QY+8juyKuMLgMaZHI2iIdJUE3Al0Vtlye1YvDYKhfQWokhAJt4pb9gzSey2y2WyJYSdxaz
sMOjod9Sx/fEZMYppRX1zilK6y4e4t6juWKBxZvf2b/5Jw4i8RlIE+y2ioFmijJ5smHmr/s4TrcT
u7+7FGLiN6XN2yzQBw8+KgTvtlX7pCzrUzkbkZd0jf4QDma/Y8mAzNmWQ4l2M5WQDvPBfwz7Ud4j
V/KjxCwFVZWLE6tp48q7KjgfiKm8g0pJEljDA7UqZmVio8C9RVh1VJ8T9TDpju0LMyBbt/GIITha
O2Lm24OW+hTMortYXXnVgnmTo+bdVVSaHkSqYipEgGFTtR0gxlU6bJoNa5XOi0uDiNpcfFaDNEhW
SVYqqrC6jxTrgNeCrdpbQcrrFU1p7gwOCiehj/s0m9ofCeBOY+v22qDo1cijFz7f72CM4t2IiMCj
i706bn2DsW30SZs1r7qIw10oogQ/tBHaNd5Znbt/z/5O3whhaR2+ug5kdyJZKdZGfyIiI7+IN2/t
ZE1XAKZoBJWKKdxiMKiB0KjcpkiglDYPG3bmnP+rKYwe2sqpkIvjxrpYAUJAW+hXdg1eNPD9zezp
mTRx8jFTNvXUuLX6YAPnnu3OOEYduakV8zambcccakzjkUGD/agVr7D1pkthVES5cnzwE9U+Gz2x
yu+DG7d0hfk9nQtUniEFc2Z4RwNl8jAr6xLgP6VsgKpoPrjswuJ/PIAJd4FVjEI/AWPk0iZ6te5B
gW7zVnvz67H+TkeyJtey6PUT6jNPmz6243cfsZJksBjkzhqMeI9nx+UD6qpvCENvUTj/HEY35TEu
62fLDNNDVNlYrnmcRq8G8+e3dtJZ6+Apn/YEJp0Vs0bDNKWTp6D3kJCCG/VbKrDymzNlND7mjrxg
HVVbE8Lmfs4TmMEofbTDNcHSlFEOeDJgcvsDk2irrafUWn8NOAmyhDer+sbGy1jVUbGksoNm3Dua
6bLK0JydVo3mrRB6fwbSah3bJY2PyUNbzyj9Gw7t4zW1A7EnKRi8hm1uPVdJS8kbEWruB6mOmYO0
3a7Bmg9lLamN+9gc0J10TIEsvNpmPdR0ZEU2ZiIV8CSIKAvKaEEDamsMwQbkCAHELs2JBpmYfPJZ
muWmcFS8kZXMt45qPmMD329LEUy3amLsDHUCedO0jCeFtr+OdMPdSe6mW/a72VlLzatNF4DXyALj
LU3J91NdFcz74/izh/XWk/kfnJtg+Y1D257de9pFsweWtO6jSVH7lQW2/Ellcn7SJsleLdd7qh3U
RNVmkGLOp8kHdCJbxslqXxt06GRVd/V8RwIRPheW/h2PUvwu0dRdOjN7wIKXnEfOXHu47NZGDM4L
iKoQylUVLRCxMX6u8OtcB3zv40rvRPxCjxs7ArIRmJuivlzD2bwDbkl1XuJjBc8mdWjCZDFYh0c7
i5AjfYcaKSBhpZ9km86CFpcXU35Ay+jXc1RmXBHjcDRKjDNzXKNv1kpla8ys+itRM1wflmV906T1
4NT+szuWwzWsl1JQ4FEIQtD+IGCFm2yMbyF7wgg31F44pBJgy0ynKS5RXtMxv0+Kvl7ndXKwOM7e
chWhGzBEnV34cwB3MHndlcot9uh+705TPgl9OgUBCyNHszE1ZyxtdPzi+9gf9VdIo8praE/Z2UJk
z0YHf23VspM+0GxyNArZndAE8IQIG5SsYVYQmnijnMaHKJCZFWxLFtU6y4dmuaWTHajkkHpBFcR7
k2rm41B02Hb0CqIkMWBcqR0m74W4TGRJ6OmN23QPsUGAFeXJUXjsJPVTZ/a/ytpA62kCew8yDmkv
ZRV5z33LpsrCmo74CQTb6WB86ttgBHKMed3tnPkBi2W6nTEsXwLXyB8qDhcPQzuZkLiy8m1Ke5AD
gEj707iUhIVAuj9JivkvfZOMq3BmKEWR9isqu5q5urBecr/lUTrBZCtQDcJC2yS5mQAhscNDPNjF
AeCGeTMiGd1beYNQPoc0s7uD1V7RBsL3dGCfvIrKnHwUQiR2B0OeJtmIVyMZRu5nc4NqONqnbp5c
EtLJmOLbitgn2MJ9r3xXHDmoBO+IhJwhyA6zl67iG1Z+i+ht3dlHp31dpKBvuo8rizSu3r6BfDMJ
1lrRG/60+YK2AZrR9bXtXLvxL9zixsM0SjYHfpE++bEfblkLMN7n2rSy3FI9krDXYfNV9hoGfPjQ
B6zP1yWNQMc2jJNPQtP9Y87jlcXM5F8qF2oY3omUToc2Flst9v1jl1mWVzU8axiec/0Ke3R4Q2aR
d6ysMKuDAEz4yovmwsZAPGYdAziwseQxKbSfZHQcT9Y8P7vUP4bBSJGOZdeXoBoN4hU9smLCNbPK
i1bnmRhpGINqMCa0NxyaJCYwJ7X+YSariD4/gC1Jc1V6c42QUcaEcUvXND7NGLgJDp2SCm+tq5lr
fYoRJYcDj2WcT8UE1+FQg+9djYz6q0GhFrCNMh+GovEfYtcttgFGgKfcjx55unLmsZmlefxae6zq
il1amJyahG50STBoj3mfxZOWtuysOdZuOCMn39y4nBCjNT987Qkgxis3jQdkB/TtGV8Nt6hISzyl
WwJMKEirvIwk1DO2d01LWZfLyLl244rHFbu+R9Swdm/bxAOHedHeS71rPjHXTGuHltTHuTLmQz8t
xU7mBM/cjICCJINE02ATw6VK97CgChxqrUJXmCS0Kmx5EV9LNtjZeN9H7Q0XfIszDhgyaSXHw03G
mTOItF3O6uax6ceSibmx97qoCEc0jjHYgBIn5xNUns2TYs6fk5D3QIrG8qJUFgeajv37Ou7qi/Cb
5Bga/P2DGaPgKlHC4S03fnHD0e56f2raLY2Ajray05R70P/CKxbHZHUmL+wH2wBoXPyyq6XInKq3
t7SdSLxGWIafJaXmexv31bXP/fh74jb9vW2xdEGnxQyb9PTIhCLO/x8Kh0ly8s+fq4T/xxI8AFH9
ztH9VyN80/zIfu9/x+jOb/jN/+7Kf+iGRaEE31dy/e7iqf+NZuW4/8AVz/8q8eUK8+tX/pNmpf7h
SmWD1aC2glWuhTX+nw54U/zDoBbedSQcR9tShvHvWOCl8Ud4hyNcXcecD5fUdJXgtf7kgS9CNegQ
G629T2ZqWOmjFhrbzvCtGJA/Rksuozm9kiYlUwbyzaHjJJhAYQJcw6cRtooOgdrWVb2ZsX95OYWE
JLqgNRQouB3FP8UkMH67oG5NiF+/JmMxKNK0GB2FncIuCtAySAv30UHmwTa28+YKt9a8uahK9wHL
U4ZLLT+PJi2nTeCzkzbFI80NzZp3cNrppQFrGBPZHT4fr3HKTSwArtrSOioACKrsus1cU62BNQ+u
5HJDmmun8BQCMtG9DretjbmiqNw7P9CM+15rgp2Yw+90Q0aniUzchv5GiQGycb3Ctj64kdrroYcX
tCymE8ilRKhtEoGjP8FULNrbTCP7MYl0+gcrCf1oMppjbrQ/1Kg5e13ptQeHUmwGl9d0IvnL75Vx
39KIPncshvVx4ngQa/eyUux05p/M4QctsDaEvr+NlXViOj4LjrLt1B0zYSztjngkFVhHQXTV80fr
I6UUsxEY5RM57bt0gkI8WE+Bi1iMID5DJsZqlAUF5SIGNJLQHretUq+EyM4x2VRwm5uhoa856sZq
6wYUZTmd1kMKJ39oVsYxy4oJw6PY4RRn6Ejba1KXC2VhbLKtILOwH0rxcxo0/B611G8zPScX0nG4
ymrRfc8aE39uIfvgnRAbvgW2p9eE1PcORwJog7rTdmlXOZcsC9QJy/L0Wbttv+pEZFVMreN8wmE0
nMGPXnSjjD4Fpc00AJQEGglRrbKGfLgdpe1HmXRMEA7mjco9JhihIDwaPCFnjWA5h3WfW61zTQrl
bgY5P8DWvCVAHbVgUNcZ1OLB7tPoFFUtABs98c0rTulqQz7vnZTk6Dla+j2zuv6uWertzJRYf085
24NSHSZ5nEjURcMIqyQ+rrgc2CdaVJoKoOttoi6GJuyHlso846yUH7ssX3Kj2uSTFrGiFUnWeW3G
2R/Q9BBghnBTSWABnMWwSUvBdUcdC092Vh3Q2QUUMfYTUSz5gbXYfCAWCiYqtrKGbUtkge2F2KDr
647YW8xjcqyDLWGzKcBeE0YSha7wFSRrn14HgB6M8J0G9mGVBzVbME1EWbvvDLds16G5QFDjRETl
N1x+NR3FWu60tPplzjKR6QX5+97JedwQ0p8IFmBEOPlVmA6eg6/KgElT1w7rRyjyh8ROteKzTKLZ
5XXZFHmAL1J3HaBI07Po+7kgbUvidDu5Aepg0FOSswstOZmrwkbi2JJXjELPzzSn+SjMHuJ4YThE
Bww61jBrVq5NPJzkbj5wxbhtjH4f1M5EC50RVSviJmGxx1yV4mjqNfQnjpZAXuyC3NuG4xRvlko0
zBxiS4NiAGRF5wppWbmbEQHoJM6zx4Ygw6/Br6hghUFLZ2bCbiK5yiKG6jl3Ine2WYvR9D5Mcj59
NKFwF/Qj1lUT7ybRb+nMMPkDJuAdkARlHLActul7VWtd5LkkU5O1mTk+Xt7e4EjkKghzVIM/uDlA
BrY4vGBXJhv24T0/aBmq7jD5kHZXFWvYlCpeCYWBbGoU3uUkY34MeQH+Kw3H6q4rGvz0IXHCAxzy
+YeDKmuHjUBdap5glj+F7fjq5PG4afJqenPsoWLTFqY3Kza47UUBiZE8b6mkUGAK+8Z5C8yKs6XV
ivm7oc8fg+wwNupd/uLTg1K6+UZrgBdl2GNOkj+3XsmW9iai+OPQZ+e27ml7dDWfdxQX3WIGHGB/
pwjCl6mmpk6jYKzbBUPZmptCsQfZmjml2yfu2i99K0bgbmHVPsaZSi0ajare9+glZ6FBbIQjZS7i
1cQ+YXywU+yI+1QQ4+h14hqPKaH9Dxb+hr0C79uEG6cW0VNdsMz/zkDQ1scZVxC6ah81clUFIdw6
OLyMNT9BT/gOVDatMFbwrlz8yuXsGX6D0W1s+mvbEscXGtvN3hrHO8fqblPSiYMfyvgGU6tjKOWc
qM26QltLx7eGteGt1HTi+D2ZradmTqfb5IOpvvZuUfzM4TPuu2QeDn6fKcraOyf7If3IoI7PZfuC
Jn4Z6VDggGvEzs+A8+63NMI6TWQFaA46W+cna8gNzqdDt+2Z9PLw6XOm7DBpFip9wpbOYVZpOOpN
S4bhVhWUOn5GjsRsHGuhDsillw8goOS3bNDiXdRHUCBdgVPgbOCO564whVstd+unIqjKAKDRkP8y
lVN89jiyX4fKxPZaidDdSDvDhou0wzAejYyhtBhYd0HaaESOE/aNOAKr7Ey9i5Pg6SmEZPmt9fGW
1knnVRWB5azjxh13cekXJvSmRHzAre5vMjGdJ73IU5DLaH4os756TmvD/j53PEGiibvqSmVT8Cp7
jV37SEXHKp1S3BlkzjaOqeTeRxTfGoFtYCk020MvzAQ+ikDJoNiPmC37xZoCSuR0oIzaJAhJuXPz
PIaGdo8Oguo5Bg06kwzSGfOWhs0eBG2W0xPaVynl3zrBOvYHU7oN07Y4Nu3Ymd5sWY19q+M+fc0a
muW9IgisxUjZ+xYliS4mfzevLXaVgBR8fKimVjOB6Dz/4PrI/IaSq00XW7KUuGn6hIg+FjEzjIYg
DovAUhSOloxQwWaAmwTIW0sGaxU5TOm7oHbt4BzlmpzWfT70NwMPSnAU5Wzr5yGOZzboLnYApIni
wS3GpTk11qbuwa8iu3zx8eGPmNfxesTori6RiTzhknfZnWPCJguTkPvcDW3lPvljJm8xJxdUE5/7
vsRDtCfdbe1d2xk3pRmZe55n2YVKTKxb5Fd2hMhYCU5IzJR9N/OZwjCnpSXbIvuNVZrGYrwMA1+I
vn4fHVkBh5kKjg+Wft9MA7vX2n/QueDXNYWr21YikjZp2b86RledMsrMn+OmatdJM+BO1ksZPAk7
IMTF6SbnEy4w2UDEKc8oFE6yA70Xu3tWjhD+57K1aQ3BItNeTZzqFwfzOTbT0HoWQztWuzTSKFEu
ZMJtOWulTDCEEaTWHN96BiIW8THTYxps3anrHkcrHqiNnehqCGFFfvCY42bp1wOSHj0KVrBPI93f
GswfP0ojc08TAtMVDNq1UgbdF9hDSLaXkMbz2T5jZHc2sO5P1WwjXJvtUyCjxFgBpTgNOKx/8MCI
HwNlph9lV/a7KqmgUQ+WBqWzpY9hxShTfQRBzhGssP0DxIthn/b0ucBJpeuFXtk6NrZ6YwmvstSi
AeHXq3fsqAOf9m3iek0xoBEPI+mKBD/qGtZH8V4203tbaWhurRFlZDB1065YJ6ZY+BGn4vi32sT/
Fhi70L7/iz/+14nnT4UOFm5HvSC5cRBFWlHeaDf1MU+1+Ol3M+C/SPX+q5ch7uxKYQLwxcb8Rypt
P2d54fvacFAjTUVI5EEMh6MCtfX3r7PQbf/44yyfryFY5DIRMs/98XUMVzNb7ArdYaZG9ke8POFl
OzMRBBNtDOtRS6JfaY9Wwg4to9ft71/dXN6tP7+8gvwq6EVkuv3zjxkNAQyz2moPoo5KD99G+0gX
j/TI1M58SZv05lRYjBLChW/JVCBzcJrodfdp5nQhvo4ZRsACfRF6JOf+ebyOqigOEuBVedT1oC1X
sEhQhbUhSi8NbS/JqlCzj6wVAm603d843f/t1+OvPxCTsK4Y2XWD4kj7TzThGTeqSouuPMxR0+CJ
SGB+sM2KaEomZ+zyjA/AKh3+/m3864tautQFjD1OplLpf/pO1mQPRY9Cw4sG89lSFmfpFu0wAM47
VT/+/sWWkf6PHxkvZlAvhbaguDstksDvmicD6M75QqA8DHOkbe3a/BgTzcv0sf2//FR/vQQwnHMM
cWzMe8Kyl1//3QuRtTJKGvbyQ4QNrb0IalJ5cOaG3e3//icy/sX7Z7uCKZJjoonx+E8fWpBEIqbt
Nj20EOtPYceRwu/GcAHKuVa3SUzLhFqDvOjyyBuaSzJ0lrgSzlvzIAo/uq/TX2nAz8AX48/78et8
WH+dFf/+r/qX98QwTL5aLsIOb4u94BB+/54ESwEKYLbokIShrg6l07XXsRgZlv7t17G47G0wr+gg
4MP/+DqyCpsqCDoaqnyGgU3N1jnaBH6a/laQ8/8Na/8/VRSkOoDr5n//J0r+L6IgLc8/6t+Lgr/9
hn9CMZx/WDoXBu1JOrduZ4Hz/lMUtODY858lmAvbWlD2/weKYap/2KaO53sR6yQ4ba7r/xIF+R1w
sy2dbY/i2v53REFH/hlHYeqOY5FVEfbyQNHtP90hKtr/GqLr1q70DfEUB2LedFOYH0d8mpue8XjX
V9lbmGSg7kzHeYuQ2s44jTuGDf4ldjkp4ruwEMm3OAwjotezvDPcXPmHcW4XQroJC3QV1VJ+ow+M
RTZdfvLsJ0QyVkmLjzihqnwX4MSHbi+Lz7lQ7bdwxlG7EhREXqTSxitLPZrQG7hroioSD3u/SblM
bz50S4MG9Z/FEemNJwd+8UPQT2jshqktG8nZFKeybeJTnLoWHY2OyJ+QxGb9wI1EO+kxL0Tda9zj
1JCIf6Gd+c+cnqtdZmv2SbqgNqF94nGJNQd8XwVr7cUfHf3Zt6cBD6AV8GdbBVZ/woskOzj5mx/u
cvkRn86KY92MgQf0I7mfAZiLVdzQmqtnsRK4yMAOYojhJIS3qr5RApC4eGWj6eZyl/MY9vK73BHM
IDq+twTRApT3JUAO/MRopz34QDWY+WkA51BoZ+wzNDwMpN6m6h6MJ6SOSney0vOVwIgQ0Hdxa+Zp
Okh2ezjS8PmjmTCHkVKzcIcpGnbshvZZw8CBkgnd8jK8J3uzs/FujtZnCPESGSXEIw30QNT7WAMo
vCpcvYNa0Op8umG3VKPMDl6Shm0azp9cbadWL71GGezeCl15vWXVH1OboibFDfN9x8j3XibG8Ga0
vTyijAQnZIniRnrNfB5IX90ldhLbLG10pXkggqAljoQHSDwIDAlrFUv7yNp92uNmc1kJUtcI8IQJ
3C5EdkQOVmeafIaj3bZIlHaJ1Bhrw9aQpKCxvaZPGd28j2j34bAvTNz10awR63Q465kEN7Ay6YSb
LyWJaZrAE6e9s2vHOtsVKQzd0MwJpACRtq6ZTVr3Bt5S+o+WfnHNZZ0ZdExbidtTcQt7JtNnWn6h
Lx61RIg3xTb9xOid7gOzNnmbCsO9Z/VZAChVOQn+kkaYYp2jd4N/cJnGMRASYEFwABS/cpoZKhV6
E8tN2ZjbaOrrB60gw+BMMV12ERCrsvpeksSHM1NkG+x02ksl6hHbV3HUx07zVEdvGyV0lzbBa8sm
w8vclix+Lb7RNbhdaIFeUShKEWcVnoXuDPiLqndi4tV9JuvHqi4/3ajx176VbFO3a4HPgwSYxXDJ
EFyUXYq1EdOkYJkSm7bssosPlpQBUGGx8QbTTPJNRRCSrPIIWaxoZiC4VJIijrMDrmW1HnSLk7XI
QpKbc5ud8cHJLZdh/4zGld9pS+tWTeR3l4q2626t5Ji1CqDgOXRtLl0FgTY63zsSUxiCqFLFTtoG
4TveW13fcDchJVzoc+senZkeiZ3V8ebgtk61kT3HwF+S32SDLLRooONKGDqNfG4LTXVwVPKB5krN
Aw3XngP2hq9FO+6MzBY7vRc6KnllHIwao30/EGjOAsgSq2D2/WfFW7vuyJquhtJGVyCcVm8I3+Fd
0lN8h3ncdt7EDH6Hm0Z/dGh5/e4YMJ3RI+v+lJkmgUXlJ1ffdHwP2Gf0WZLvaTEX25gY51afvIVc
uYXIM4xE+hUXvNV3byWGyn0FdJro6ZxE+wk0mdfBuibw2ygIuxImmZW40Z4YZf0qTORFn+bUTeUP
gZex+timgMce9dSoX7W0S9jAMPFszBgXdNMxa/H+N9c41jswhOzWfwZ4eFnEu/s5sE/st6dzCzf8
tTaDBgfHSMNkoj0yiyaQeJzkYYoqeBqNTjs56Pidk+fWtcrPZdQekEUmIEfgjoAv9c9sqihzhKJh
rmPaHA/Yt7V7vYGffrL4Nl2Gsk7PTOlxv046l07kIX3zXbd9U1qSvFRRV9zxNie3LJnF95bcUkLC
Th+JtpANugQhwZuwB2O3MoO5IVEIPGEgc75uSMIRB53zeTP4tPoKtztRVSrW4dzb1Urr51Ot9U7E
zpuPbgYG66VzNj/6c2vWa0LnyTcH6Md2Ksf2koWCJRY4UNyr6VyuGxnHH1USdgeiqHxImWZHj6kI
+JYtr00Rp3VtYbN6wIGmPdhD+W4M4bSTfsCtD2P2tKZ0Me9W2HbakQdprp0Vbq8ljANmfeBxX9aV
B5VNehjeh/9g70yWY0fS7PwqZVoLZZiHhTYRiJlDkAyOGxh5eemY4Q44xqfXF5mqVlaprdvaTAst
tL5JZpAE3P/hnO88ws33xEobotmFYVgAcCUXMHFTuQadWL4adb88AxewbxYHe8/Kwhp/lC6SqnWd
OtZBmM43JndQ5dZYfHlpqIrNgtvoecLmAGOT0qOOI9UGN5MM81s77CBkd5ytmEA/iZvOeIyL/C6H
331PGr2D4WJJBEqlMSo+Rs7TfF2kpmNsZgKfHtibW7Q0KlsujU3xxrSr6o9m1/rAWIrhecqt77YH
LrDLks5AN4ZQOIg68TvotdjWPjq01Wyjbpw7F4OTO0YTi3fHfkGmNV6QI4yfCfBkDl2CEYnVLEwW
E0HuyedgzsvfpcM8qXcYSVUpAfKy0tZ7mtu2v29zxIKagRQb+mg7kbmHFAQ7xIIs7y1KxNfVbcqr
FZ4UrtpNZWM/HEgEq5X1ZC78ncHxjsdZJXfM+dXKzHECh/24IFiSs/1UkLBI5FyUeaepzv2nATkX
GdG9vcvrSMPzyik60Ap2XxD77phq8oea7fZgS8PbXRNc7BVbBpJyAYvGtWePD4BzO+o9woUQoEdb
yZ3yzCql3FrYdNdhbbXnMnCn50IuRuwXkbcqytpnFFjiPmg844JVdjO5wDhb0w4fxs6r7lqcnMyD
svzVmmf7MLRVv2mHWn7XLdjUEXMJy5+h3k9BHb35TjXfJ5bffA+dPW0Re435avT9+YlxvNpDbKMw
sbu9K8z0Jm16qDpDqj6iultOExKunwCh8Fom3r2Eu3mq4HMcyb2zvuaaoSFK/xC6PnEUmHrmwchO
xBwDVATKOP0kiTneLEiDybcGiXiHg42DBDnWFyHXNobWLjyJxCCKthqzsz9TR1kiibaBtvAf5YG8
ZVfFHjODH24lLkuCbvqu/AVymVR3fehoHKKyi2fLoBzQWYGFCiUfhiziGfrxhqIzi/Oodu9JaMTt
LDnWG9NwMZ8UGOmzm1mnX4zYv6UV3eMb7bYgu9nbuyILHhspMXcqaVrbVBknzsSKIBokzpcKvCz2
vXmqs7U59jllRKSWU+DrcQvGy3gMzdkx30e5hMFxSDrIUr6M+Ns3pftDkdX0O8wo1guXlNpNIzry
wBuFOi6VovZrwyL6xuFkWQiOuI06d8BgWHpB7C79cmt2xm1h5d4jxeR8zCP0aI7Z4dVrs4hq7ur5
DJm6soQXVpesRnwvl7KwxL7qEM3U1zngqHPY7dK/40TQG0+J6sYX9tASFe1kbxiMnRu7IvlxTZ25
3LU6RBgoTRW8l1TWT01rtze8r8wdLEPP21bNw0NhKKDGc4CJxzUsRFWSfD57k1Dhsu3GJooBpi6f
FhBp2LsBRr1jRKlunK7AgITv27tzCF2Pi0KhQaNYrexVKvzmjAcNlmdXdYT5dN6YgYFSrSCaZCGx
AQe4TF/NImUTIaXGSmG6xlEElBhAzUhxL6s79pt+GeuuurUHP3gIhekS2BwQE7TOcRN+h3NmfQnZ
h0BSiuAdM0p/YNeLzhqrBDb5SqQFQPeaAQgEi9CJGPpO7NwaJPUwoMbw0oED1quWrexmYqq3CnQT
bl3l7SJ4LTFOFNS1BkLB9Zwn7Y5T6xMVlAbw1zcQI9x0V4ZoP6ZM71JbnNni/ihGJ/ukbozDlCeQ
cRCymjK9UoruUJVEq8GXVVyyJH0yx9ZANd1mu8Qrk7gwE2ddknRsXFsM5KN7fhHLemwIOaM25JNA
AKl/THZKcSYMAron4IYFBTctMqEZQBDjqElfo3bEy5uKi06x6lileDYoO1a0g/jHcn1Pd15DLAlv
GQSpuML972QYR2lGvtiH3BReTjCyF65JEuFuMMWHbuyTwC62Yjxsx7oP/HgZ1UxQTKoPQVHhGBih
ULNeWQD2Vg5II9zyBYLBOBvAS/kRkoSxbLfXeFuznD7ZxOFjTvcaPUeMBuB+QXp6Hp2q2fipuQDl
W9yddJIIMW9k4aQn1oa8Dts55jW02kSyagBiC+BIDf1GmX2PNj67yuUkUMEF5htFqTEPuwkIOYtC
z0rWYVnMDqLRnliroNTtjY/lLLtGjzTsqwBQFZPB5sYhuNw1guSlt+z+rctrdNhpWtKw5BrL6kTg
gowXexgegFxX6cYXMnop3Wr6xLaQnIgzGD1iDkiwHwvvjcUstC5teBHYtoUGB9iElT36UkwYuxxn
2cvJnFZcHOarqLvySZtCIgki2RXlRUHwVxAEmho07FqOvEG+Esfw5LD63Jk6vGjCTE8cMCysMhnu
p1J9gvVzEFlcpQBTvsa6F8FjMIff9tynNtWpGZKO4aC9WZJa88rJ8n0OQ/8qCVT5qmmT4YM3K1uz
ukIQUFXprvInfzfNXNUe27qDnRIQni/2tNeESZqrMLWiTWa38mQJznxOIXN8EV5RvjdllO0yX/c1
MWpd8BxSuLiIhSvS1hL4Sn9OWP//9O0ySxCzn99VVsdZp9vsl/7rMC1wPYIYQ0apBBIxKbNs6z8a
xv37IZR/g2D7t/iz+qz/yKdEFfmf/i/+HN9dEyrtwCZAkAGZGfAx/jG+C8y/g5T1mEAzWTfhXjHe
/Yemz/x74Dpo9/gHPrbPjO7fxnfmNZDL5/vx41y/ZfhfGd9Zzj8P+PndML0Djouaj+WTR5j3P89+
MbKNufAXd0Ph1s/NLc7jrdiSDXwFf3EqABW6qmwenWcMSVG/XvLnTuGJq16TSYO+NkCOkPJTVB9R
MtB67gHkccXBF2l3A96SpKsOafg1T24MJoEkg+y1Hz+ws28QC/jEMz05EkGCPd87abt1jKMMfxgt
UM74l8G+E99pXa5wnc4auvZ4C91vnfg/JHWBfeYWhURr+Qcv18i9TRR5VR0jJYM/OfNeYjb2p349
MQnzjJ3pE+yUW1og5S3vJlR7EVbKevxipf7cMdaBzAPMWwCY9xwQiF2Qr936ly7v/XAgI2IosKLl
HYn0I2IYKhkMg4F9tnIWoeVyYCS1Nf/IfqqOhemXa58CYIJd1El53/XMv2iE494wNkjnzqVVribW
uYTEI8lF9LOulfvOWGrHnwnvutg0eHpw1GxdDuvZndethlzio9UuOpwe+qx95w7p5a8i8FkK8FnH
mTQiadkv0AqfG2PZkq2yESycVzk2u1XqB1DYB76rSLOzqCRREhHOKTfM7hQpivl0+5fX5vznkuhv
dV+dm6zW3f/4b6wWeXb+9/Loz/cOjaKJ8DRAuvqv8Z/FYEJJa8j4nZbqGRJps3bd7jwN3j7l/GWA
reIy8I+6wCAr7wmR3nmWe9JV2MM+clD9dMynkiQCC1HuCwOKVn+9oelZ+sQ5O0OznSbvyQH+RLxq
FysnO6n6hIFl18r6ZM1bi0O5JlwLbuGDV6b7EAZEy3QMtD0E/qsW0Hv0ineDX/PVdZcRQCbyYius
dN2Se6lGJ27y7iaMiKycmli0xl4u5hnlPSNI9zzD9PVdQjPmniipakfYzgVRyZpHcrdER9f68EnH
yZf+qPzlzmwYQBmoW8BXwHiMeCqLmdzQIbsJYaypaxoeO8oq/KoQwpXMV8SI2603SAot+uVmmfQm
JD1plvAo6MwrviEmLsw3hjUfOS5ebVvc5fXFbtvbNnHB3oyXevoA/Q550EbYmddW8K4SgqqMtHxj
ZrpJpbXzcx6RkVQe8Nd7xWCVxDO1GmirxNzDMkoaL46005+AUlL4Lh//8WNi//OW68+nxAlYR5DS
y4rtKof+65ZraUDtsPVONn5T/BZG/0o3t0ta6wNhGKzFlpD69lEljL/74V50LcaS6S4DSmgVndqS
FU9FFuVx3slDu0T3qY0fNdOPXYh4LNXFOU+HH+nV/8nTzXLyX55un5ObRSwHOBeMZYb/skwHGYsO
xCIWVAUt7DuKL3YS64VR69QTTdSSVpqUKVHcnItS+Huj4pBSVv+J8GmSNYQO9DzYSfGGKDTHMgh4
ZiH6AmXeB31uU7WWd5BCwa8MO0zi5yzvn6RhPS8Obig2scKbnioXQitWvLhJW2ZmGZ1b6+uGWh0X
QDbYP2bP8kRobdw41ah5GKWGe8e8ZhjOIzwKycRnhWPxNr2Gnvl+9KGCxWJ0N1x8q7wfIB2vek/+
1EaeboAWXTD4/UTpFXmb+T9E2j8xanqrMP23cBa3nvUjy2yXToKgCD6BUIeWomYJo7VOvZexsnZO
SJEftF9jioMNRXRTjZsOnacJwmVI11nhIUqEm5jREyTTpvL0rWlk505ze0jTjvMw2hsWPTAkxNe8
1c+KMRDosrelUM8im/C8MVIbSI5bDL134HQqYe49VT9hcNibYoG3g4nSlE9lqo+97cS+zfuee1hU
wzP+2EOD+2yEaoCg+6mybNRAlR/3ZrQBDw9jz9uKlMQbK78xrXIzDiO3TPZaTmo/BD3iaLn25luz
udHJsumuTE0irsjoWVndW874jhiSArZl2p8A6TCsTF6JUs13KHkgSibWVtWMK4tlk46sJ1BL/LD9
Zdjsn3vTZbKYv6uKyKKI0nt/lQ3hxHSR+vosvVAxPiBvo8xXSIPbETumHM4ZllFVusPKsBHkVYfE
iF5dHJKJ0XyHkMplT6Ri0yQ3SG/5iqE5a1Xs7cXb5o18qkZ4s2yoXHseY5xT5A95Mypji6/XtFNo
EfMxZlYL2aB4w3u5R7K4R5carQrAwGj/q2cnrd9E591MrfNSaix2nv8GffkyVb3e8FQfVBL8LLZz
wmGE+bfrYYFb4oQJC2qShh/RCjxRnrvcFEyGFBjiSlFeBK356SJ13Nhj+9g482ehUuANvX4zS8Y1
wEMb5InzuXUBuSxwCgN5nSZkG1RKUFxe/ACwgLamtZ3mF6vz33q7P5m4NCG6RggSSyRFAAvGKSZQ
71z5Ii685KXSI7sZ9GBu9IgI5VYU74uCIoJFKErSu27IHhw6vpmn3c0lYSD2auY3Nk0Qy2bn1VbY
HPRyIGTzMTG+hiL8iRbzYxLTSjC/InXzV04QcVYRJyc87zGJfleMTaCauMZdG95JC2POfd0/5kN2
bo2r1xJarvM4MJvTefhcwVJmgLJGgbquGQgNkFjt/HeRzbuamLmiewuiC1ZKpJMu8BXWLimbzvde
PAFq2AEQW4Xug1ER9NSRpNzbPC7GbW4+TnYmcQDemAkayNmFSTnvM989tMHWc4lfYjoVocGW/j3O
ygiKTRU4b7pHAjPzXhf2WxidKzjiQflgCoA7nJWvxHsxB828WEBv6xhP9T84pNeVjL6gqJF4N3Rf
hiRArxX7IrO+hzEHKxIhTyqaKJ6JIWQ0NcZ0ZiuCvcIDqH+wKEMER0xUL+BHkOHZs/tttDZCWyOM
GycIt2OznLy2vsB8hNKXW5eoMN5R0r02xXJZpvy8JDpYD7LNGIE77kFoqKqIYOpN4Nd9DCDkF9iY
XbgEe8261if6a22GlFMC1qGBQJhRptyMZNhU+fipgU/20FH8MSG0hLnx4gfMB4djNKa/yW64RLVk
VZDb+zxHXtl0lCZRQpxOEiC9t40kzgd9KZ2F0o6WeHFvABj8FCbx1xYoAP8ITQT1OgvOUXL6urdg
JO/mWe9CR9mxmzhi27ozBMrRM+JRRRkZJwCxOzdiA1PgaPzv6ZLY5BBSpkkvYiTFwI8K7JKZ1Vu7
sESv8LjyNCSPTmod+d1kmwQ95cqWCb4Mum8IgX0P0euKuaz8pz+qg/8LTev/iykoESEhf6l+/g+h
x+3ndzr/+zEof37p/5J82H8nOsrl/DERKF2bxn/rGd2rQ8w0TZdiiV6Sbu4fLaP/95AvANGOQwzo
VsQH+Yfiw/q7GfjkO+MpczyGeP+1lpEu9F8rH8v0fWaZtucH7PCvupO/VmwZS+lpKZZuS3xq6sZI
z9KdRTLkPWYS8yX1tPUaoisGmrAE5Q2cDHBNYS1ZMIxZ/lS7dsaGHbLYSo28nWB2UPjVOiLmrRE2
0g6ep/RFiIYHzDCa8IXKhGpI2nY8ATlj7VM+KteZngOv8SgrKAsBCb9gK5+MlazHC7MZ6H9LXX/3
NN/3LWKJve3K8Ah7OD20BDmeMRuXtHKBNzXrrtQVr2BK9IO2eXNSb6bkrokKPYWso8x124cIKvpk
mCHdYZU82q16rCcYFY8cNo0DR3GpnqQZLgPIkXagaGiq6Li4I9C3yIR5zaFqp8PBFqSWrZwhkd+G
EfYzeXU156lTIV28YfAaRQzUbbyx8+ja7cM8F/Lbbd0mgzo6FcMLHNrouwFx+wWrqLH2NuCViooD
9IHIR5I4SAeGrmugZK/uvTCox+NieMMPQnbd0PJW6qO0e+tCxBrkrTYJH2x39naItA/oR67Nt0Eg
zK4pQ/9rbjN3OEDCntuVSlqOtTL1wXOlE340QlQaln9Ysdeofq7Qpdm8uF2TvfcsGb97ZaCmNrvg
rgqQzW+6UOkNUZiCIIxKjqfAssnyEMlIyq3XVjt+KxB3NC3aCi7TALswkwA2h2JcCxr2G6c0quJj
4eF4RAENMFObtXk02CWsGngLKAUE0nwOJG59uD3ZWvbcYCX8K65HKLWeC/WPHdcY/KENQcpR/Oor
npYJ9Yrgsm0YbGQifwqpMlcdC03W5/zcJED52BcW+kHhTs2n2UzJCqm08yPKKnx1YUxc87e6wvlI
JcmQmQQzFfRk0lioLyJ433tCd0QcYRDcmUhT01hXUXbydfUI9zfDMQUX2PNm7yFANfHetmUGgwvD
yIZNcLpTRNb8IhLRZ3tpGuXb0E4ctYbtTXoFKpEiO3CBrtAF1oCmy7ycQoxh6OiPXY1DLggXnBVz
KUAEAui8Zhk8hjniVEAcriIQWhNM4QCuct3hvXUDEF0ShQH+fNi6BMF2MMVDIomdvZlUy6dXIZZ8
7c0mZfyJipu5DIYUwKyWMY4HM9DpgLMEMMi6qUyUnJYdZtBaoiF968ZsYlpqCd1suYQRsigMTFFM
4oaiPCBbM926BduTdWqMFsrdDLiR9Fv/3QEfYkzYZAia3iVV777CgFXGned2zIsy8rr67cTIz4tx
ubG1RpIAr3Gcp9mM84k/9MpmmVPwrtuinu5cFYj+NhlIcl9bKjerpyziv3pMQ6Ig2fAk1viKxAfT
gxkgBdri8wypIkcGwWuSVujr5DI2e0Iu9QWHC9Ay2CvqqeiaOdxkhgYgMA6APIeyocS+rqHYFMNN
eGn5oDax1Hnxuxw1ActQyVsmE4UyzFhAlLvGMC+09V1oYPKqsdUOMRG3uBnpYCrfGUH55bLoDjyZ
U89IA+A6TDr3oR2y+q6uPe/bN6ba3rtRADa7Zyry5UQlWU1VCk85wbg5rBC1MruLJpusBdd6BuLG
hNosLHdbFq6AQC+VWKehDNaEZZM9uFiRR8igV2HIKNKFTRAHZNCR0tSrZs2PWMVWJhN2VSm0/FU5
FcSc57Qe78NQh7dD4dWvzKYArpD+MN/1o10cMaJE04qVFooZH6h7PHXRuIeGPt4O2FzPiRGWUI3y
NNrmsL4evAnPrZvW9mM11Km7HrWXizXarOaQKBsBnCxJkLLUnJ20JnbGQ1V0sWrbea20P26t9o+I
2Mg/9AjQ9ariiqw2k2GaX5MYyrVj2FN+dQhd927h0u/MuSd3pIFjU+N1Lqg12Yymbi3vDd30nyb9
zUc2Wi4ZGlZx8Psh35rtkDxyW2bhTllBd2nI2vpSOnO/ycAYL2NbjdvBq58ijiVICQotwSYdmqe8
v1JduyWVR6UKTt7QCsTeqpQTM/vydkNds4LxXE3wjJdTqm8B5C4tDhT/XQRkp8Z9V3cnnLt0EQNW
oZq4vbUJW3Ofa119sCMzqCnRoNH42r2zKQc8yqVdNvuqGppNC+H0zusUGR0KR3a+nS1+YHYs1m/y
MI2bnjVEurZrYcmbuXIWGZM23jwrQgZxdU94cFb1IN0D+pzhVBSpYA4RhC5EA+Q1Hx5knocBleBt
rgA5QmW5Cj/88BdXc3tDTmf3ng+siq8mD3mUUyFOlVWBSFIzB5XnTO1jRYJAA3VhiO75LPoDOYf5
UtCrMfmijn+04cAdMm8mWjXxsXQH+W8/tKHwB0u+GZMq03f89ep3sqaXePK0sWNg4O0a283jrJHf
Q7As5zRawjsqFyhRUV29zRaIEhUZGXroBtx0TS7ApkDGyfsWTE5smZn/gJXcTFFaAre2eiB9Tyyn
jCMppmQQWTUPmGA1SZfTgJSJxxaGA9CNTn/5anA/UOIND1MZ+c7BS+virSF9RNzPrsZWauZu/dWM
nf6FNpPxZzc1rXHswNLjRIRRhahTDMETa31iiByyfxmYayR9iXdNxabrNEIwQQQjUpEHwRC3TG+h
nBPpyT5Zew9ubjdrb+w4mfnjWi+T0dXEfuqQeGm+uoolhRlzPtKvd/My6h/i7VD94EHiBnPS/scb
9XAoR0/ejH4bHD0jkw+EKSJE6bAfpLEHROa5rFW9S1HkwbAkB830E/8IZYtvBISqfM2tErtJ5Hdc
NjO/HASYICZS6Nf8Y4SFMkIJU5GAKmdn+VRRDTaFBJ35k54u+aW7CYhdx3BY8Ma6xJTY05wWZ4u8
sRN/ePZ0Nl9er1UlIcKwW6vvVQH9hsI0jScI7ZjmMwCjMYsAxm98T7Gzo7z5iAr4imvPqcctSFmI
oUkxkFDrKfkOS8UX62xu689i9tgqJkny6fR9txmStr92zUZyQh+FHRQlbYGTBz+j4My8gg7N5lWH
Qv1irc9a2GkC7y5LPfjIUd/4j/DDp5u2k/WliXo+W9s23h2y/yFbjzLrDrVahLOxXdGcOfWZhrQB
VlSKnUauTDMRz+QLX88dQmDczo4GNg8RrOs2oWiK5wbP8dqZZvUREmsJVx/D4T32Q8+NZT/1n1o3
+M/TvKPxVkVx77CrRKzEpK5ALuuaJhvyYLrVrdVDVQHZ8CyQOV4iRabtmk5gucvm1IT2hC8hnoLJ
fTMjb0ifiqmPzhg2AQ5xwITfmtqSyCpkmQkjo8k9E5BMOgXgEXOFXzzcO41jsBUnlWReCX5ne7JG
hh2CW0acntUGSGpzNtBhPdpPPrdOjNmuf0kBcLLwtcPzOIurfNhT3UOJrmLYmtHidZQkGBqp7Acf
9yRI1KfBj7L7HJU5RV5YzPeeo8h8FZPzqKDkcBM5DWbdzPBYUQye8c2Jl2+5n/2tPYf572CeyHys
Ug9KVdRYWzTl/qPZj/5Hg6YnWzMbzda+usJqxxk9aOo3wXsRDMu5Mlvjq0G+8mTOKVojG0bNqUZr
/gMRJJM3i+iu0RZIoL4RHuqXZSTto1yIcw8Qd2YxGZNmvmbLnde4llvmYlnNKbRXqvL3bKeNZ1+A
cNqUnexYf3v6VKUtWr85w8qvPIkxde7Zn8E5K49s7MYUzQcWcAIE9Qb8IajCYA4YiqRVBifbauSN
JugAfYfI2s1YC9b7ojMPVtW/TSbD7EQ0WbyAGeOD2OojacxrM+XL45Q64SFjCcPdJVzgrAFCnNkG
I5jNI3QEDq+VY6QvdgFAwm3tiXESpku7i36agMUFWvbDJBKxUaEuty4m7l04ps0uyebkd2LI7t61
G84/cLyQjye6Q0O7u6bS6W6kRCDHeRoAgmB9Pk9XFJXKZbe1ZqPeW91YnJQI+l8Qt+QDsukkXCcD
pVGJlezicvdt/ZB8s7GMxAflDGEtUfqY1RzN6OSopheSEUbFajEYmuQkPcD3Mmqvvt2+u+ltwU2N
dDMeMwBjia8PFr5PRmYBIx3csfq7ULU5bvKxJJ0mT8OPXNmY2mrl6+PIAwKQYW5PrYJO7TYFvt2u
GD6XUH0v0qC2KpnocJ3Sjcm0Tg7+3LbH2SB/mhZIbEkPoKvNkGfdovGrN2mAw1SRDLZqxWBvs2Ty
H3RlziFAgKk9+aD0btDeyMNsAKCIQ681773FE2ssjv6N0yQXHvsHVlynYepfnGV0zy7i9RXohmWN
Bhf8GmGFK/6cVxKtyGnclmvGiYFEbQ3kvnwhrA0N09XjTvcJzC6q1TNh7NNnJovpjLniqlT2dX47
Mxfb+zYpSg04Q2dnTh3IdTOflnffNu8L2bX3ReUyI+iubAmnpQLsa9DkpdN/UHUmoOk8762bm+FL
Lt1tlZbq1JU5enXLJD0L2Y34sqPE/BKUG4giCWmd+zm8pdBbTgNGiru8HPonBOLcc6FiKEmrvFWl
AApIhJx3qJbKvmt8BJ46oDafu0IjuikNzUot9I6aRcGmZvC9glTZfcHnFNsyCiZQp8n4lAgygsxQ
m1sWC9xuRC+y7MYNH8KcYLMthbiCzgcIDVQj4MBQIm+QAZVg53sGf8pQrBKboq/1Gr2B5gq3FMnt
dG10wwYISgCNRKukRj/8BMCfgksgpislHN4BnYlmxaG5Tb5bm/S1NdqxaZ8vWc3guWU80Tt2SRA5
ce/iXOXSfCHOpqH8Ltj+5o79YQPtvrehgn93+ZVacI2xZxvD3+HQ091s/eDKMwmWKXspiAckyCbE
jP2Eir9GpwkUZsMGTCMsLtXyNqTSOwRMgA5QFmz6hcmpz5BW0L9eBySfwjOszVCAJ1u5YO/Qf7vA
8eAzauPJQiS80iOSA+4X+USqov60S2bsRmdVe9vLgPY36cnpOk28Qw/fCgkjazauSCv2WWVe8N/o
fVcvjn0rphmQGPlyOYnpnb3AfDcrx9g6k5HrVThWdfgCI9E2d5Jb01l1SXktGUnWYtaajTiYMSBF
IMQTdOYgVkAR/0gMEXfh4iav5gTlbJXODtlohQ4IhK8zlpkk4yKoQueLLE1O5dEI4K5c0NwvT7W2
Bv+mmuB/ARacQL8vJDxtstEAOsZUYqed4D2qFHt9Rfu2cxjOkfm9ZKzOoDUttzSdLdJWbqztOGZo
bRnio3t2jIsMk5B4ioXsuIjApLTHlcQrl7V3HPm+e1J9ld8jJ3B/lXkfvjKZgf3FfUQlTV5hXZTy
zouk+oW+mgVaFgmHnKLe2lpRWn7nhjSSvQrz7MqlQStInJkzMdvBjeBR8TEwWDnSbvXal+M1/TaT
421eYL+nLewF84hSdQWpOVKT3N7V/biSUoze2umawDyVae9VV2cHr3uXp6gcErPSzr6jE8sxGOFd
3g3BYMZt4TG5d1vZvzmJupbKXQNpKOvK8lIwDvTWCRPLe/gfSMqzquVwTysezBX3dOEflVe5n8Jg
Xdn2QPXWBc4HKhyuqDnwDLlyifo7jpH0v4rSkq9+ZYVvxCyjixFtapyb8BrU1LluCHPU6Wb8M9jG
YLj17YFKvNwOsLzLdTL3QDirWpmwB3ItUZukofhw1Sx3uJr9O1DpcJbtugoB8AY9ORdZ6P3CxUac
PCw3ksjcEhNKRs3zlncGwjfLh0WQK985Vx50vbLSZC4ifC4fa6NU+zFxVLtOW3qPtR0JnGhW69c3
aPeFveoURoK4cgqXIJ+qadUuQR1LAsyok4qEoKhN+k1PBteuGAIXYRqGsffBp8HiJwm7F7DkPTGa
/RTxUwc+IES70ItkYTUzQBsKquS+TK1LGISkA7g69KkTCuGc/G6AnCO8If+0u35hbpFNhrWdhYVJ
rxpcACpR0C+vOYpUJ+bx9MO4EJiLrJWLQuEty3S3I2XYPzIQCTIEjU69Y1pbfoPxtCHXzFG+gn6O
2qHqsB7dZ73QLwB+8lc1mpjcyLcjl2FcQhIpCiOAeQHrnY3gyKNyJAKbrSi0fHCt/SCiC1seunnW
SSZJJVb+lcwjbNnetpVNYFGYASczLViJXYGNDpS9ams8idHgnMZq6Jc4w1vyq/X69rlk3UwzllU8
1AW65GmV6WDGXOcze6QXIGKngKeO2BCQpPjERxCcJrtlVppFeXiXE6PXUU+0igM7F+CvK85/gEo1
Endic/QSrMvaYmDjg6g04TkNoEHRFLJXwsnz7kO0jJdA9e+8Sa1905omgBwpuv6G7foAzcYI0AEb
Tie+gR7l6Xayr7Jr4EoATLmWOFemeoKknjuDe1yiZrFXZq+Vv0au67krAznrzvULuTFswnvZQJrz
DXHNLP3oIg1Ime2kxGYhLS/f2CnSHBt1h2TnreqWlon1nTJ55zdD5ia344Q6B/ETJDJYVOa4GnGS
cqCakWYJydk5IAiftkYzmv3NPHo1sZyKWwaUGr4dJD0mwySQW1fiWBqFdx3RHUyZudlowfy5jpMc
y8QqxOnl7xpoPJSno2BYNDd8YExfXXIL88iDC1RZP0NhhI9tGFhMHnPYzq4BHCI2QVcVvMYl+Ayj
lG296Tg2yWnSynjAqrCEL+CfyPD2h4wGJteKy8UajC1tvYsKCcjXR0lBRvRPZmePTHFdMCS1p+J0
DLLHogznfRCyQNimxRS8EGosT8s8iBcEtlTSdSjzc6nKN0l226bJggBZAZfIJultvRL49ZIY4lz9
yULH+G4yOV/wsvZGnGI6pTTl2J1xHrHBIdUDUTk95BTu1XidZRdD9Itirv0y87B6/p/sndly3Uh2
RX/FP4AOJGa8Xtx54nQ5iC8IUhIxj4n5673A6uoSWWop2uEnh18cdoWpOyEzT56z99oTJDDCHMte
rrishXtFMGzyGlAxTGD9VsdBaGlsqqnxXShVv6Zroa8HGgoHWjqGF4PPu5aI5NqlkhU6gRx2P211
Hlxw3X15608DK4D8AcIGtUC7I1WXPbuZnOaSOGBgD2HVwimlvxKsp95GLJIpkk6UKJEVr32jJfDa
4fFFKl90On1L+Fp4ggTK5vU0iW46lvjgrS24JJ3xTNg4xiJKNLFrxvAurAzLo5M4vqhEKBGyWCyx
ieKPrKa0J7uXaJfCrbQnarLB5GyLQ+su4WoC7yFxytmfHFyYMzsXatFg8lQ3tBUyhU3UjUVSweaG
dfYGD5BaVK/pA3iOVLPvmsRR6Dn67KexBpr9VRtBBpq9RQxTDQbPQPGyzf/WUPWDw/4EybqQxVvz
fwXOKVSBXd5lXPnvvfiniJTWj4jOv/7sn5hO/R+GDqUFVoXLhPDP2ayr/QOhL2paJOcOZAmdqe2f
w1mDv7Ac5rYqERqgV1DZ/jWcdQ3LQqLsOIK/taz/SM/La/wouXQAUTtgKrD8I7o0+bwfR7ODkODZ
Abtt845AARzM5aY3q2xDrXrWa+nuIr/7EhdiWJjE5c1ExVNgZvrih6/sJ9JPps4/eR8aBALTRshs
MDv8+D50N+CaUPjd1kpkum3YMA09WROHbrXHMDwYBHRa1/RnzzTlaWzOsTeENp/ikMlWVeuXtrLZ
h7aTfJhAR6s5dmsclREeWhRFdFQt+1AKtljgmgvDbG64ym0AqFULJi74cdv7XsbH0cRH5+crWonX
VNNXfeLvNR2lBpNSdMmPRkZYFmhSDNrJpY30eoVx8IUbbrFUCc9YmlY3cAcN6nIFbQ6fmzOhfCmi
JynLiz7SI/FH0or16x6uOh5F5qB8sVIHyx5amA7AwJGRRJFVDNYRs7lYm2HgjdqpUIq1VUH7d4Ai
TregDO8qS+4lNlZNt/d5CA0LcYtqV3coXL/QBKHMH5Izs3948EEHMQt+51Y3I7qlGOYcmH2D+Z06
e+uozwhG723IN0Fjn5Cq3lq+2GhoAsWAAoSCZYGLN8B0onljm6yIL3st0u5bVOkWJlqdYMfEetPc
yd9JUwu59uoZTt+2ork3HRrRn5hcy6UdYJjuhebpo3VHJPiuVm9lbnuWquN+Mfq7agiuhcotl2AA
vi0uucQIriJryVBmX8X6feY4FU1qY2HJuyof3jqA/YNUv0wU4GOpuouwLzGIROvRpFdWMdXLBoSP
PlHjtnv/fgtFmW7p+C9Jgl0OsP1HtTsHiv/kl1zpEUXRKOUgtdt7jN1LIb4VGaeb2h3aDu+H0TIa
GaZ+IRoYV/BbCOlOl+7QPMc6l2yjmSDcpk+4XhdVaN1HGa1QsrG+FRVZjGOYcVOhLNJUZZXFzVe1
QVzmqz7WvHHfEBxgi96jD4ooT1yM7NHG7HYVw0l47KYM7LVx4w9dR1IS/ROOjn4HGmppdwl5FiDu
qpwRY/IEDPF7ohQ0R65K814yrVuICjOgVqo3WmNT5WPtRFX/aIi837ZdAXAjRL9kH7uB3DPLZOqk
XxnjTe2UJ5tIZUQa5qIwxuJoEB7btnSeWiu8bgY/xVOJWhLPAb24waSjZyZbJ7zuAnHMQWnW7o6Z
Mg09C0YGWq6InIwFiN3Hcmq2U2K9+lNEVwuxfqKI+lS5omblcN+JLCzKWAWkE72aqbOukmtDqHS2
xQ05p0iXmD2q0wOYiS0uxkXd4LWfJutRwX0ADnzDo2FTYWnZTp8xlJ1QcQDQ3aMtAunMvsq16R6h
q7msWvtLxMUEdaWJUMr0RooPpvxXNjwfTRu8HMPigR7cKqjCr1ZnXAs/npeTdgV+ol9UjXnFxXY3
JO4zozVAROa3IhE78OE3o0poIT3HbI19dWvSwTumlRKvC3twlqKObwPu7N7kq1eBbkeE5V7XROGo
UuWbZxwRqMrOKaMTDpaeLoQOYh2rKK5XpJqWeW3W/k2WxtVizMtL5OSbLvQNfBchYcyyfC1MfF6j
9UB/h7UiS/R85DxIk+b+UNAoqO8J/7nCrvSlxWO6xeMXoiZ26B+Pd0SlBcvBPQ12cyhIx+6y+qKS
/j3p1ZcmNZ+1hlwmtJ8MPb9UY/KYjHa2aUo+h0U4uMKIsBtXkx1pt6CZb0Ga7oYMayDSkn0DYtdr
k3EiC4wwm9CuY6rUfgdbBWGqvpmAOuhY7/M2fnEChmH96O/AjWon+mUEbVRECIrK+U4762EwmYMW
CVOenixVIPtkKqRylenICqXIt87kvmhz+7WSZKa4jbpJMcJ5WqzcawWtCDlCYK/rczOKR8ZFr6NN
+8xg8uepmXyJE5uFMdNNGgbTrn+dK85F6Z05CRGoClFJMrbHjayTk1YEuykwvleBYpIhEqABjeRx
4mtVfP+UzA5BwKgLoyCsC95oTLvWcLhbByboTn+lqwmt0mrXCExdraFc12WHSzwMkhVwh5OhwjmM
ArpwBdDlKb1VG/q16BRvZNpuKpvnAd5EaCer2rJPravvyP3c97JfkfOE65zpiBNtC4V4idHH7Eiy
bHLvk58eNfUmwYVg90y9CjYhtfDXTehvytpalsVzKPMzkWuPXS12DB6XTWocmDFu+w62i54vhcsk
HJvbTo1QuCR0vxL7DlTDsmqM7YhBpGgexyzEaZiSxywxC4onUM5XWt9tEya5XPc3UeMnS1P620kJ
GbZ29cXym5c6wUMQGgPezBpeQc18EPMpOJPchfyctmT+HQd4thl2YTS3MGwm/TQO7FzlQGonE/KF
YtrX5hB+L4nqIACKltBVOLxlHZYK01oDt0BwqaNxKqqV3sbLNhUH6jdYGdEbIa/fwsC40q3mrFv1
NiK3VR37Fap4tKO1++SAqo3btwY4PrFBcJxzT5r12awGFmHxxBJ5qBhT2elz5ySMq/PnAP87IQrH
Vm2vwMYQx2KyvfjhyWTT4pJxU8tib2NRaPE0jmV2RVvpOQvAW4+K8era1blrtW0xjCcE39myiXVa
cmKb6fRPMAe0U/sUxu4qNcmJFfHXqc5fM308hMrJKcmYHshRRvbG5b48SUt6WUoLM4b/Ed1p2V5n
UyBJ3WBbpucQwrCGZoLTMdv0+mmKnV1P7ByY2O+d0630FOe64XN+Fs3GGpaIA6pFmKinImDGkbrV
MTCSmxqrVT9Zty1pc2GAhCRrvgAGTo+avI+NZKlXSMhlfC5juQX6XSBvix7oWdADxiKdh3ys+Nom
bqq1NzQhtkUmvxkud7ko2Q4VXyA9CCNDoGsN6c6tolUg0wOyiKVlWw+EIME0bwFvGgbyEpLbzUqR
nkmLyRvi7J64EOOmn7AfWyH0FwEDkLgk9HLc/7xeqfdJTORioxWL3DCvyxDZRDwCEm8fZYffZqQD
aRv1Q52U26KPH2K7XplEIFskeNFq8qyJABVtQQOe4bnj6WbGjJBWtC83o2Bq2imge09db0IqDYej
6/Ko+wX6qbcUsnQb3TSgxPsMTUvDyFHulWhcWqntDbfDREqzXIcWo2m/kEtFqwfccyHnB/p0tb1t
OYoY3rYLkkcm9z6wtcegV2+jVmU/cDZRAIQqoSEM1zcyrieUWmXdHgc1u+nENSgGpoBeN0XPgG0W
QyUQyrVMuuPXvm+2Vq8do5KOiFINexp3wusr683NH0LW5lgE+17gPashXZN2n5fVOmqOkRhRADoX
iC9rByg046UFbp52ac5p0A71Q6vYj4xECkSND0ysV1Ol7Frt4DqKF8VsWQYl6YAOgGnlncgunbkK
4P33XiuTyl34wMzYrLP7QOXenHdxRPsvO7ZEvVFaymlv+3lyKh0r+6qYobvKgwn9j6/X1JAA35+I
kykeqmYiZTgiB70j3OItR9Zw7YLgJrtI75CPF8nKwEq8MU0GHSix/c7zWwDkDlD7Aq/lVytPwxtH
B6ikVgE8EzZ7Aug1Ao8LrJOrFHDq7dTps2agCZ/hdkA1Rf+E/UcxxaopgwJmgaO1Xohvf5XqOQs2
jXbCHoOtXRvqd17S+cqwZHpVMkvdEkTWbHw1FneFVetr1D/NlROO9V7N4+yAgqO+475HfUxhBseV
jvVNlSX6xeEd49WuOFviEO2dkOWh6Ixg1yqjtibnmzNuUoalPwpnF1QKwpusS90NEdTVKS/iYMVZ
U3qD6U47xS3lSYO3tk/rVu7dllY6RRxXr6F2+d4Lqzw1hi2YG4+nwoFoAi5Uje8Kp7Ef1Fodv5ZF
Tv+5sfx1QAP4yhim4gv0epdEonncV+msH0cG2asDhR7aj272C0rj+MroGvOCeQs2ua6ON5Lm+ln0
mPI6Ix6uoJuFYGofOjqO0umIQZya4dZHu3ivGAYS9Jwe+BfTUVBrVCQoGtOQooaz2zMkBZu067B5
DudQYOSdzgFJ1vAK/yi/xtJO/JBo5FUKcmmXRTgEsXgxnAzgmYU4OZgV58EmoK7HWlFa9C0naEa+
JgDyx9nGDYNyQ4uaXSUZoxGWg6/BNemFJ/TQfNTbAMMO29NzbKbauRxafWvEtjgoE2oQa8rB8aTR
dTE8D2HrxShBvK5JxytNGzlJy2zs7iRP5kgbTI7ZhjZwvmyr6asJHo4br2zNJXDMi69Y904+XTHF
/TIbJA0Tpy0piXA0CMloACNbw6GK4hXTFqQMtukpUPCWBkJ/c+T8Ve2nXql23RgD+hfGNwsyvK7F
L0adrFCNkN2RrJm7rXIqt3kGag4kAdE+OzuBoW5yv34ctOIC9nIXYZpPjXZpiMkLY513DPQvOWtq
/SBEg69AkU8or5EnBREVZYaz1+jufUVclXNSuDLPaMLkOA7KLnDGK1Sj3a4UlbE0yUkgmLgjAmzS
rkanBahmEDEd5yvICCegHHDFYopyCQmu1Yx1R6pvLhVtiX23fWxDxDuFPLjh3Dt31kGavxF2ev/r
Zoc+x7L80HRxDIuEEBWhvqWbgINU91PTxXJiKibTQjqSPnLNjw7T0A5XQ4+LTRHpuFetvDoPRTDd
sD+Ft31kmRecxPFV7UMiWEiyg5+cpMte7felksyrBuGTezbnlRTOayqZV1c1rzPxvuLmtUfqVHLX
I1aidGZptvMaZZhRnsZ53abzCvbfF/MQ6HLf4vbYBz5rfZxXvTOvfxhlwSrLpuqUuZLEODBzRCwH
PlYaPxmX0Hv8axz1GiZV9hYx7zLM9/td4LPzqI0/eJXR6xcbwfwNmUzU50EYNndwxOSdWsjsADS3
3pdT3VwFE7cxd97pNN9kz5t3P2veB815RwQbJb5r8y5Zj020C8sC61oVIrubN9N23lcVdFsrMA5s
tm2KYHRMHCzcJXUG8wX31ogTdxXqWvLQYTejDdyzfav4jGk99+GNgVTnK7Qd/ISV6+llzCH/fggQ
dS42/XwyoOLuvvnzaVHM5wbDzPGN/i05lvOpQj+neBDzSQMDhEOHX7PYITBnFDufSc58Osn5nPLt
NNwNQ3Es5jMMbqviCY61yI+0YOFMcvpGk/DgEKGKrl4T8gF1qPqEEwh48Ril2uNo2jS1ALuNX+BK
MawYdQclXEADKuHZXEEWLhZTRgGnRa620Em9s2Wan0PomSQ0auG57Hjy9LRCPkeejgWeRTIVtf0X
4z1rp0DExeVmjuCRuE/qJfOn+RX1mnu+nYEh55xWUIM7RY71UJKtdl2Ai3pxKk2Dec4msbF6RtgL
SxhUCsyf8n7BFDl51dXyhlRGKDzMkiBzhz70pZrbgoclAGp3l1kOoBAwGKqJ/rerqtuQ2+a2V4wv
NWYrlOwdN4mJunLi8R3TeUQ4DisSHi5xXF3SJsxWSh+TIKTk2blX0S46XNi/c4l5VBzVPOmt665k
adx3EaVnp2j6Ss26hB02dLyoCtJbp7eUoxMNyYqDXi59NYlAdoErtBjXIteyLpGILw7ZiMxU3YQE
dMrsNlP3gS6aFSm8Q7i2hm5GMqXJstOt50io9EpERECrggx/xgigKWsJMRqPyLfVBSNANlEeDC+2
uyezFcU+Z1ILSWxAyFAX2qYaiTwTnZuhBjY2ZMu0DPF6YgDVylzTTKWtotYvaQtY0qWhqFrI6ak+
7stieCgIb7zrlZLrGBTvjdG28AADonOPIY5HbJlBscFFiSdNEYgGYqtcO+hekSx2ct1prLXCoa/p
Y99g5j8S5jrI5z7v7N0okugpmvJnkxnKIjPLepPaTrPJXL3e+BNhlEaN/7zKssGrhSQcsbQaclim
CicB/cUmZh4YAiWktChVrvPXZjUSQK6ziMeQK3+Iu/yh8Bt+4ZFbqz/fB6TbXfg7cxcgb+XY1XTj
XjpkqhYNJHmtRNxccuyeiKD5JkqZXRKNTF5nYEMhkeUbt5i3WLcuyI2ENwgGbpoSGOeyAFRTAILi
YhN+k8ijCE0kmCOpZLakKhBMR6NXeGNP4P1UMz41KCCsRiPdLSffRxQaWcH5myWn2xFsGKUwQSik
1aU6Whcb13YRBWdZa90SxzHZQpgDPCTwHFaFUd91QlPvSdVjbmaLr0NBGqxZxfd2nW5FzcalYIrm
ZkyCsQV84BjY+oH8ypBeMutrqDkkCoVygIb0ufNNDQACWtpt1HTFLtSUEFJAMD3FRAyRC6Mz7MIs
xN9Jmzlo3HTTM8bwbAn4OcSdksLANWl62aRyvSCn0HeBYqmHkAzbXdoY8sov7Oa6k35+bfrKwKRb
p3rSKns7zBUVuQP2sZqrLH2ut/r3ymuuwTSlsXdKTwak/16dseMa985cstVz8YbP848pw/+CN/D/
9hhLV6GB/1Cj/M1meBclyAd+BNT880/+RZR2NcfVDBN6AdyZv0ZYjoO9UEVPB7BDvP/3PwdYDkly
/AdXBxVimnAx/xpg2bgLXU114PqrrEUo5X+Crv85KZKf/u8P0JCPtRSgagZlKrnRhNYZKlaBecD1
AweeKHI1B8WJHKQLlT1pbFjbiuhk+Fq5t4ceQVWFDYEwgGIFZ224j/ok2OciR3rIHk4ji0kMWETn
axxKsfSb0r5FlEfaMvvjKZvBGz98sz8Zdc18nL8YJ39/v58GXSYRvU3kjGLrRmQjjwZXnZLZIEAC
f6mWKokmlYsaM1P9P4a4/zZ7QDd+91V9wraXlpGVdUkKeRSw9YIHic8Q5pw1pq9iFbdKsZzcVKF7
Uc9CE/OKlhworcrNljiEiOUpzXo7TjkDAaXPYDCTIWdj4tRgt7HN8u1Z+nCV6n5w8hssOMTSF4uk
ztWtnKLbkkAd3GpzwhU6FoQO7F1l6nRPSaSME+bsvrouwoz0rSZr7zpdDY4JEWJck4ZolZb0qjJX
LU4mMMoTkSP9l7Dtm6WAYE2rIdVWI1Xpui6blZp/HbtQ3aXcyJRm5ka7IRHVvVDvjZ54FZuO/ibV
U1BDQxCtY6S9ce1KCAmF1j6VkUlUa06rfipyrukBDSZmIAUWkPgeINtVO/Y3yIPrneyXfao8gQJ3
Dw260f0Yu49y0pQNwrdDjRJ+OYaWdoyn4MTgIlqU7NJLZ4xhtrTRRu8Rf3SO/UKMEvQJhCgLLAV7
vJ7KQuvGq0ENzbVEcLtqZ4wdKS/NvuwGHGatj1Ihjc6FPyGWqNVtHRRY8oa9P40+zJlyiYJmPsS4
91TEFfkmXGK1WhOqRuRNkMl1BG9tU0D5gYRAKno+jCi6RrVY8cE4QyKctyZA3uc+IMeNWRO1Dtff
EVRTdNPTZd6zahC8twd/dLnoccVfl+FwGToFm0rG7GYAdIgdr10HRl9uyYDEXzX0K3z5DK9cfpOw
KMIrt8Wm0GHcP7qhQW4gAS+c2/7OyYG1NRhBdgYmXM/RinBVcU/h6muZnttyde9oF1yUodpjx1wp
Rdd5XZjtJr3WlymeEPrbPM2DiTazL8n3ah23B1HSjoceFMdMF8Scwv0JC+OlSRruNRq8UvKXufld
6FItpdUyYKYIWZo99iQidZD5N2gjCZ/xcluDK0jciUjJmOpp4rWda2I/dexFZvgby3zIcwnxQYc5
G5plutRT+szo8ZCOp/FyyAmEr2wn3mCMuhW5qh6oOFhq/dAvB6LPF0XZ2IexKJM7LDfKkukEYEyD
LF9yoxNnQO+GhQJyRXy2HBq8I6HJS7xmDQWUOtA31jZKX29MDXiUYQW3DEJQDZLhA0Zuh8HoNnLQ
KlXjcGmG6ACYzmua8NxVgq6miRTd7ogjepjS6sqek3OJ27kNw9K510C303Oimaa2L0kE6NQKQAcl
lDpZTqYXqtjBXVdh9lUV+aqZInIBbdF5lSa5FujGGfA+zm9uR1FcofJ3seSKq8GGf+fn2imzaDwt
fDKK1oFv5ZSZeiFfBV5NvvdcvWNqs5Zaqt0ysA7WBFlDawQB+LXTgGGoObqXBToY9yVMMcpyX4h2
A+YIfirMT17fIjfyqxLt8QjSC70Ysb2Vnm/rEuupRk2IPJnY8DpLzBvHp2RKkRSfYrVqt6kShHud
fXGZGOp9FkXaLO3pDyNa4UvtctuaGkMB9KWomz4UEhgTNmZyB2yVccWg0qZu69sKN+o12SDlNirw
Yvo9DfAU8TFtV0xzTVqrR6vyaXGM+1rTxxUp7JcRUvQeHxbnQ2KgnZzCVU1iIGK1QCwYQUs0c2V9
1ipoIqrjYxdG64mbiSt+nFCyu1JGu8DGqRYrNQTEIIpWttr5bHbSfMpyhTbpxH4XG142OfEW5Ee8
1JBlbuvenuhGFG/EFWxx5zUbmhqap3RJsqUa/qLDVFwZkX9jwyL3ROgr60GiGUw6ZJu9EotdVsb5
eaI59+sD9COA7v0ApVupoYrRBboZ+1PzhGDLUCiJFFt8ZjdFhJUlY6LT0hU7/PqF3rUvn47qD6/0
qbRImiEPVQwa2y5oTdhC7ncx4Q9KVRxxaB5eLQ3b72DCSgNezQ3W7ovlr9+Crv29WnAsQY1jCk1X
3c/ZM1yoewidk9iyW8EJUg1N8fQW2YpD6uBSqW1lGVUiuUNB22wTBJdnaMMkr6MsJ2nCrw5u39QL
RFtPVhTXN0lPeE0S1uzygcjzs0nWEVMjFas31Oxt5DcwgoZBrmri04lkVPc1eQ5btIlvOYJiXDOz
66vObngfygpl8MuvP+/PftsfP+5cwfxQzMVGmmpFYoqtwlzwVtaDzlDekUukzZP365f6mOrzx2OE
hA7pAP/DcJBRfXgp0St+1iSD2Eat/dbYNCxH03jmWpUva7N8+vWLzVKuz1UftI2/Xm0mZPzwwdAm
ZB0ZH9rWjLrrqTX1Rx1z/C7ug28iqiFOWUlz3YZpSP68NsGJQcKsJaWJCTRoTkw1t+Sso4lgGaZW
NawhD4Oi8tncgqHNllHET5iYvcoIDy4V7Lb8Wo2BG5XJzEYcBP9aEUdcD5XjMBcl1VyeGNQpv/6c
88f4tGKo+IVlomtz+Ljz4/zDx8QiZqkK58jWqjAFJZavehktNko3S7mOaK6ki7aCZf7rV/3ZQv3w
sp9qarRKbG5FrxPtBwjfqc1vdiI4mWtaBAh6lX0+Dmcf5ft1Olc5dt8kv1moP30LbEpQWQjZcggs
+/jJU1UMsswiAfoXN7DkSIxMeaL7TUZFYyog1CwAGyr1Jv0fdv1q/evv4CePM876v17/08ppUZTR
9g+MbZO2z7qMhnOT+/o+qywebCX4TY7ZRwTf++Lhk6oQQVRBIsnnHLOwj5QarjOUNB3ZnOiTHtME
psBff6af7AYfXuXTZ5LEHHUpeSrbrBmAFvMBFzI3Vk1mlb/5+X72SvNHUZnccVv922ZQum2Ohkjd
Tj4QtN4Rj6nl7jhnfvOJfvqY/PhCn/YB7h/kaZJTzWlS2t+jvrmKNdvYAFH2MWi0+l0SQEVGCEh5
jCGFq0DZlL8hEYq/3wMNFV0rS1QF8sPd/eOz6odDj3TE17etHZfbqa+7S6kZYhdFg74t4eQUpZss
gy6wIQKOlG9BWHnwJjFsZcqLYkfJqgSjUs3VRX5IguyRWWR6LaI5zwA9/K+fAv3vD5uhgo1wHZoS
vGPz02OgCEwh2VTz1oL2kI84BESoMrGfYNlZynQaXGtYla26bSWR0ggAywWXUGVNx5by3SQFpMvY
TkkE2FGm+ivUrMus5E4j4WAuuES8lWUf7NQqo4TTjYOwYe7AU+N6NgJyLhXYs+VUUFuVPpzL9LsW
qWIx9lXmqajCjlLKP0qc/29U/Y68TPyYMNi9/73cGqzyv6DK5+hr8fpS/9dOpi/5N/lj/8r+81/6
lwLbNbm3WbCw3iPMeMb+yESbRdjM4eBSkXuG+thhMfyzhyX0f/BfZgwWmRy2yjXjXz0s6x82wmmL
WEphaoQdWuI/6mF9PDZth7w+G6E3qWjMAk0Kvo8LUspKWkU01JuwR1odm9lrDpF9pdu2RB9Sl+ig
0zf2hdKb3OS1ENAvXfq7XsXgfYwKXKVOzmACH6Xn99FDV7Bof/iSf9K1+rRxvb9FQGA48S0E8SzG
T2+RtgTi8SSoN05GAJgyAR1mV5ilau6RqcwLeK2zJdulDDRCoyw0jP+jN2DA0uerst25ofljaYHz
u3R6I2WMgIh0QSu580pwiwudlN2wKkk1ArAA056yCNfHIha8j1+/hY+HxB9fgcUmBEUbjKvzPtX9
obiRBqCDNEurTd2SfQVS7dKGcBkICfr163zq0/35QhYvYzDVQ8D98aNaE5blcSyqTV50oIOCZo4A
KZ9Ag7hrXGpMGDCmUjLSuez6HsM+KuOjMmg3Jn3NY+Y7CnYU3X+RMXr2etDUWz3hFm7z9G1cc6h3
bV6MmzozkpVScltIEsPmtlmW+Bi7ZkW1jzmm1a5hgKQ8f3yRY2V9kT4ooVo6S2JS/H2AJBKwVIkK
0pzC0+jfY/bmac1IyCGccm0MKNoGmbwJfWJU2qWvuQLZJK398+S43+nW3EJqevz1N/extzp/cSwJ
wLoqKq65qJ9/wR9+IXvKCbGKqnJj6j4e5mH8Evv+0jEwkvoYx4EC0X+yq879TfE1A+F/qHvnFzZM
rEq2Q7Tr+zby8YUBUNqlpA+wcWSYrpjzxTtYWg2y1lJjeiXlMrKnziMrxDxkIws6l3Hp2U7OD5oO
2ioNg3XrSNczmegvdKElS9en+Vkgb92ksd94c3seqbiSa78pSeZkyc/v3aJ37zo81XM87KfjVW1d
A6REmG5crN/LSoFVQshH6emde0svqlgldpMCJW4ylCnOrtPFbm6hM1OHJJxZIHnnDcgY1oV5RIIH
ekvSaXEVPjR8FxoXKXwL2nVf/9Pf2iDGkgxdPDQMAVxOjR9/awZtilp3vG1Ue7OXgk0Bo0vyxxdd
W6XrVS3BVYqRar9bnz/5wjQDW5BqmUI132mHPzxlrZb5NEHrdON3svS6ltheF2/pb0rSj1XP+yNF
P4WxhqPy4dhwPn6+PC1xlldpuglHO9/YdZXsaz98/c2XaMz/zF83tj9eBsCXhmhacGvRPv36RVbb
sFzQNhZa+ubbfk2IpMQEEeQ6plGDRe4qPWdL1zDKFhNXOTN9E4R23pQQk8y8DTl3RtcTIJe8jJvO
KpygJ6eShzyJe83j+jVzUdFPW8q4Vi37DHyn3kV9iz13wBPQidRdK3oP2ZfOyhxftVEH9jdTDBoD
eFfBocj/mwxNcWSwRNp1m6osD/7eqBy81ujWFtrE/wajAn4eHEgmKpG7zlslX4Ruaaw1DW1aQ7Kh
VtIY85v4Ff70qxnrN1k5+Xu/BERh6PFbTQjNlhwVdwHif6sMLkInshbWKTF3SOScRVuw59IChhrc
wSQjGQ9dVCA16K/pq9XxDBpJcM/AaVqjnruEPBye0iS8b/0mj1xl24edtiJk9EnkrPZ+3r2BNsrH
cjDxJQEoXA4g2bzE4MVSNzZehIrYrNaAqqR99Irhx0EqUGleYKWVF2nmc15rsReQgXzbcQOGNzlx
EE+WsrLT+E2EfOguwABF+CG1cdPc1lry3Uo4PXv67kHf0zl32Lj7tpQr6GsCCN7U0ONRnmyVLCnD
hwgDosZZAgr1vRaK3pq9LN8kZvTKCCpfmJUVeYrkBE5H+pToso8Mpu9i4V4YlWcsQ8j4qGHDDcWP
zsECiyHV+WlyidUomqDHlu0VBcbGt/NXpJuMVtoSFTcInRV6lmKRjWyW9Tzqd1JrXVXpW+6S5YA9
/YBX9TBlyVuKC2Yzq/qXAVrhhewzfMn6CeeERqhYB5pbtc+Jj9pNVJwBiY5gRGtxO/slzznIQoLe
MLrOJOTSG7vkTQkUnlh+WTDbbyZoG4CKlflApkPML+4wrDHQggx+8AYJhIcgZLdWo94h26g4Djbh
3iFhhh4BfK+A7tKrFiK8Z3WKc0cHmzCv8BWJWLElXxSsim9fEPbzGSlPj1bcUlvNPwyVwVladbNK
aJl778/u2PPYzFKJmS1B6mUYvTo+NaMZ6De6g2Bzdmc5KpLLhCdc0EeC5MKzVE+8bz8f1vCW8pXI
rA00gEvpUsiExHf9sQRIHXsVQr8hMkUuzY7ik/nLdMoHfqw2mqsNhX+vyEqdkBqeIF3w80uV5VK2
4Cs1rQuPvUpjUPQ+SE2Hh7Zootf3N87bpYrhlg0khDONa2l90MxWPrbunGnb4DXC38FSs9GpF65b
raKO384eXXL9KnsnrIH3lNGlj2AmEj7RHYu+YCiZQKEfGh/sMBuYIucNyzb5Gz4Hj27yxw+cqeaN
llZPRcl3YQ3xW4UQa1aPvL5vF4QlvTUDx5jTsRPkccALoJVfNCknSGlBUqtRf0KQ40vkMkA9hG6f
LCDXXnQ0K+lWx8cUbM+SbFpA7aZI8BOVT6ZWHN9PJ1flKVYDvgGAy1gKrfhtVH2kcnGxhr+d4Hki
UKWWOUTmAWjt6H7L55xdnbn0MqfowtYT3YMoYctT+Hc79trEQgVuDuamttPXhvpq3s7GnC8iTK3z
+6bUmmwv+Iye4oH3FoGK0Ao6+1UK1c1W800kWCqIEV9HhbhDR6//m7kzWW5b2bLor9QP4AaQ6Cc1
IEFSEimql2VPEJItoQcSffP1tZL33Xi25LKqJhU1eBH3hWSRBIHMk+fsvTb8g4Ev93SaiFXB4iQk
IKptx6nc4+kTgrh4U49Endg3aiuAI3zTSd7Y6TuQwj8mhTYyjYHSlY0HL0rttVGq2wbI3SoUdrGp
jOYJap1xsJv0LZNRTreZW6XRuRlPK51nsZgAubivZpsV1Vm0DavJeNUCyADEyPOb8mQyZFj4V3DU
yOBtw4tOfTuY/+GxLRVsrBK4AZpJUlOW6eK0EieTKsQcPDpj4rFnWJRZ8+Ldu7kEyM6/cHgn3rRt
4eBQxfAF9An+8QR69xb/PxNXn8BJz5ZsPy0rAvcwf17tK2bGm2pV8Zw59g0qSHDu2bwzQxU5PXMh
1R02LfxmLCnTWWmAe/BVjRU3XeOz8NAfRFE3sPp4A1+NiWnm9O22aQMHhifcjVn1OQWRAxHxB+uB
U8Fp/c3V6hhCsoe6YiAuAmJ1Vqdtt1F7HIJNE40ld7Xd8wC5S3ZwHN61ABTEQN/IglM53JPPuOlH
/ExamM8PelxXZ27B003GDsLNKXs53StlV7ykXvxWLtM9IvSZDQNlI+ROPVC7TeizLmYw3IOw6TIs
ZCSbOkiFoPLkYgWgA+aBSPpVL8t6C+AMh5zTJIivuarMP6jPbXcLqyo+y8mlDthO6iOrZL1PLHLR
rLGEqGMXzmoy4ynoif/aZj2I+qpCPphiPGLOMc7jCnIpM3G5RC+xO/UN5bSVkL4gh1XnJe3OdyEd
JFPyVtXVU9iU3XbiZPVd87PlzgSFu9dLQDqR7O7Sso52nHPIfQ0N44nuPqqJYi6piE2IAxBXAxLH
iF1BOWkvHJOI4VGlgURl1dixe230RYcXZkZjPSrm6VxX5546wGUxdXK9NEfTiK2ta03Ghe5HL72W
4y5yISLQ8jLXYgSZnY36sl8aHidZstirY17lSlw7BtNVtvd2iwElPvO1oj4mNgJDgjrhAFY5BDWr
0NckCVWrKYekPEjYJHEBCgYwbRgMonlNFwq2brDlyqjLHGov+gn6kefkyD3lfuHCG5QEhpoOqFUT
4Frmme1O4l/EoWGFvDy8A+CLIUrunr+tcLSJYfTbprcvcohBUR6NrxmpxWcEMJC0OIXQQYXznVHZ
Jo3m71BgOEUaDCpiTYec5oFZ0eoORrLA2pYSCIFkFLtdiGFQ5wyXOCuR0OZP4xTWD2DiIbICiudr
DdkPLWnKRB3RASjqDUR/VMLxJYPwfVKx/lrD+GDo40XjIP3wkgJboK+94v7mGQAzy+jaEIBUtGe7
Y9VNa1BV3WLdRBm0uJTZbKOZWVDC1QYyhp8Z4rB2huZTD9oJGrinTj4kAackVLEsJX3yZkyVv40V
Uc8gtyBAGzs/mJ1Vq2+YFMKcHcgqnfBtTAk6AgSRP5Z1b+2tRX8aBEuFZrRP0L4pqQh5hIHqE5VN
LO4G8Fm3yyqK4Hiqly35ps25zhkuY8aLovq0jltadjB19rmIxUE3bNKzQJbtetnwr9SJHo0Ky4HJ
Y0rcYssmY9yYkwcvrkwQLhTct5W6RTkw76xxfPGH3ttl5XATe9wxoQ8tWytBeC5sBep9Dp5+Y9B9
2LWOwbGQ3RrTZfrSG/FLZldPegbLeLD1m5a8BHixYA/HuJ0uDCMmMhXvPMPT6BrO0kHOxjcOkPVW
H+xmT2Bv89BrGOnY07Cn72osDxfgUcmjHtPsMh15Nx5V1ar1O6prtZwS1r1cZj073uB1cjva3j2u
0Bc5FwcKjOl6caeGKtC8lA11jWb4gI1wmSc4JcG5j8kqn4o7X4ybQcTLthM5nxVYx9EasUrrjSG/
JjrXvqRM3hiZe55b3GEy527oQT9TYHFNi1yN4iw8tRW0sH2kJSMxqRoksobbTajmVRKhSQCBu549
1rWwpc4hjmQ6apopMDz6apEuOK0Mg6T2bjukCCM1plgGsE9JCn8Xv1UeGbiBCPc0/JTEnfgtYrdv
GvYhQChH0sh1THrs6N3EIUyVO7W6VyNuk2NooTiKqAk4XItNas7aRuMNE4DOnlmSyFuAEzBvlokG
ketgE+yJ5a4Ktp4B2f9VhMR+xWiILxvw/Q69V3gx05lU+PrpKnO67LbuAZIWurHRIp30cxc+c86J
Hkod9yTjo/KQDCZllKUUvp5vHCKolcCGuYfhQS7fCtONfzTJpFLb+QOeT+KWX/XRute4m9D/hs/5
2PJXmuINXq/+UoRDecjZ9U53P+dNjP9I6jmsvtGE4FPlzq0HlhaSwQ00aI56ITtXKrVX1agiLob4
38gfLon+obGZqT0w4v7sKzGsIZCqRSGSNw3MXzYzZTk2tHQt9JjQJZYxmpHZpnAFcCi7u9Cg+bLi
yv0slmVj1bz8nHvUqxZfR6KJq7wZCtomLuGU8WgEaNT8LXc7W1zPVzSU1s1p7/UnntPYCu//fPC3
f9decDyl3ETNoevvo9aGFAAa1kayUUsOnZlJwxZy6lMtaQpCOV+2i2ZkfAq+5W7Jly1++p6lRuKn
JKtB3uteggsw5qCryozehWrguO49MuJrXUzL2ixcAlUxiGEv1cu1HIdrp9DaQHgdBXAXPZwamacz
EnD/H0lXxG8OSIa13Tk3BkStYNQ64yCcebpw5FQcYH1R0A2qKHU5A3XY5jkvZShSOpvaS2MkczqE
9Ybp3fbej5RwtH3ZYt6wIlUFxkmFwMrMAzvywvPMIMbnz5fU+F0rBb6LjtjVoSvwHmGS5klcgFDI
IE5ypiQ6LrxoezoSjqDoQlX0mJwWXvr4xLPxuBkjReOf38PHBigwSIYZwPxMJiDve3kmhAw7EVm/
S12gGBAK4zMA3OxCTm1h0UuhujmDjtkxMT9pV6lYyveNJI7vjL5NTE2CXtKv/SqebKMnmKPfeTVw
VJtFnWgLzbhNRqfAaSfltx5ByibUF3RddnpdDcVw50uxmwk9/ERu8XGeAiFHd1EIkTDM7f2uD9yL
HkhpNWY7Sy0CqmEAEJISup26TWPDl41YXf985dXHe9dHoz9qE59AfqHxt/b2p6agWXY6x82w37Wk
q21yXAubOuK/jLy6n9pmAFWtjUE5IuDHrVac/fnVf/M0MyfgDTAkPY2yfr34BRfV7EqSw0l5J/eY
hs665EDxyR3+m8tKl1nYjo1p7eOYit1UIMTGjLUYibXuF1QUTTp9wxV9bH1ibzvIaX/+XMbvPpip
VOT0tw26++qu++myAniLKEuKbhclabtHnuTjLbZIR5I0Bw3ipmO2TwxddM+EExHElc+7YTIkdN0a
R8yQ/Fjyxz+/p1+VFqeOqZojOraudB4fbi6p5U3i65JnLEu/VdKeX/8ufrOUGo9Qt+OfX05NGd/d
WTY6C6hICOrh9bzXu/XC1RzMYu3OS9xjIwSR2xqo3goS3Fqnal4Zg/Ns5emD1IvzXHcfmgQUx5CM
l73IfnTemK8WO1k+ERGoqeyHt4Uq1uZW59F2TiORn74ZE/jmHLkRSEV/oE+TUzw7NUsN0SJsmUKc
91V9iGmSfTE7Kbct1AN2uoKWrlY9Gc1EY4o6Dl2MEKukKkGukk86GqjVujT97rRndoeUdbEoQbCJ
mK15gzz6DaesSkTu043WReCK6dS4C+7ZrmS2pKaOmaMj3NVzcD1FR5aqqc7WOoF/UDKZ14dawaWh
laXGdqeNLV305vzPX5n4eG3UJBmrBPY6fAnv57m+MUwdB0O5i0KOC7NNRgah0ygHR2jx0q07yPng
XKeuAJ4zACJVH5PWKnhtUjJmz6VVG7LTkVCUXUi91za2zpRoUHXzAiJ+2xbRcklLIgP/QSc0Kj5d
z04ikF8XNKhjunCQHjoMpXX1GX/6fullsM43FJsUpaBqceUH9NTGVek2T71AhBGTV+v5dgOohLw5
LU+2zYh94c+X8uPNj4fE5/YSKsXKtd6NnVF2mhKAbr0jVehCjFwYwZ2QlIPzyQuJjysNo0O0W0hK
0ca471capiCEg+RgJcOSrmBK3WPM2bKt3a58y5eWDodLVypR3eV66pWTG3OEIM9hjbQvCkYZv8BK
fUlG5k1uwXkv4wjI9c02lTozlhze6W8f0ITTOM1pw2khZ5c/X63ffWkM8BiA2q6Ojun95Ljk5CoM
0kF2cVsYxFFayaop4aAVLVUnynyAJ2P/Q52X5oz2U1/Hb3PhfbJifVwgXWQRzBOV0+7jNgEFu3Wl
YcidblWvpj/j7ROk2vR5I9bj/NmriY9ll6uUwPDwEFDorveu8DArA+edIyTzS1ATmazmQI0ll1YQ
KWpENg1cCmoE2mwRnhVdFUv1VE1VdukUFPeWHr1Iz5gvc6tezgYO3rCqM07mBSd7LWyHy9Qcr/78
NX3cR3nHthoUw6hQMpJfH63GntyinXi0oMmjY2oJI9GIOsHowfmJVjYMVj3/ZGj5m4KfV+OOQESM
hgpR8q8vmlM6jFUtYOKnNDbryrQ4iE/YUyprwtjR0U+NMO8bWX/e0p7a+yaNStUzpN8OsUxUOogv
Wgghg6KgyzAXcwMYF7RWSCClmpUmR8zY4dht2t2TWKi3Tj2R0uDgJBg/bztXrWaJTb9WjV8sAe8k
40S1Bu1JdOuCDi7KMAqgTHvIawG6TGOoJwmAWS0MHbaxq4r5cPR3tppQ4jG7mUb6JKfZRpXjOGHm
9l2dhJ2k4+UmnQlF+M3UwLdL2Y4gPbkN//xV/nbZABmHgMcRlo5m49fLKr0liRuLZSOau/gaASxN
AY4vW2Fb3YrGMp5ai0MuxmsYU9gULJsvuhxrkIREd2xKpxkvXPz3f6/1hRgZjc4J/h2rlXbQdeLr
abRpScNH81M0F6SZmUeyFz6bN38sYD3WV4pXFCe60O13630TWYxgG7fdlS6bcT+hgyZHlEfCiod9
1PjF2veW4qvlhW5AIFf2yZ5pfVx/QTG4NsH2FOyG8V7f4ytX9jiV1U7PmaJV4G2ujYx+v5fTCTdr
33ospV2sEzPOzqEu61gx2CEn8LksyvwX6ErSjXTAfhjtuUUsrim5SXSgZ+ubbvQX2Vw9aTgX1qf5
A60NQ6PPF5LlFIdx82RLNQ2wabKnNCV3eqF6fJNq5y4yuWnq0XrUc0AaRHg3AyEENsS4LZRXuvaR
/8b/GHrkmv5qtWm+Kz0ENpnLuPGT2+1jZeEJqm/P8H2LXdlRV/GnXXlgVlemKtmiZkhxGhAUlhoJ
4wRfS8JuNkuXj6soW84nPdNB21AxhOCVUEidn8Ywi94jnGp8c81ufZOr9a127i3Q/szF5deSiX4Q
zcwiXL2Yd39+9x/XPU8AGrV47nWOqe+PiH1HEEdB42WneRbwTeaLaqnIZtqRp25UHhafrHofimeX
e4r6lEOZRSWju+ot/XS98OKEcwNEcUdrG1wCtiokrWzHp1lMe/p6e4ZCA+sLSg5EI8Q8MOfssIKZ
aHU3TQ3cxEbMskKq8dni8X6jPL05m7qW502phtTPf3pzhHClJCaU2S6Ja3p0De9hpozo1ZQ1V1fl
z5f/Ny+nHnGUSqbBYeLDtoOdAN9UlQF4VXctsKRZo6CyWu4dzo6fnYi99/eqyxrHioKiEyGbwcnx
148XNwPTRmLsdoAm7IOfIJWNoUoEk+VvGTX50OEyKpKkhCePTdg+S+wxPDMMrTxaleV+GS1AWOnQ
47zrr1qMboQYdCC0x6HejDyjAd2Vdp97RKP740yUcFcmh9JMfdQqBdPNpSu3xFbRjB8aR82ub8A5
pOdpXxpAYNo60AAhkA7uyTPOMFjdtSoBhRbZZOaYhG9O4bilI1lvmqi2dgVGoAu0HETh9tkVqRJE
UyIH2+EF5BqSUoV5C9JbCIf1quScvF1wQwZ56XlBH/MDbPcvhqSZaox1fzNTqG2LPEwDN+akFioH
I3EkoMOouclLYE4NVrUwLxCo2ujAMgLrnaIut6W0yOpLm2FEaVFmdMlCc2e6tYefmPegyTCiv3sn
O+sqihMRgAZr9x4yaUVoMr7hEzB3nZvZnzxo5vtCXYGMDZRYggMxMjxPdaZ+upf9qG58LWeXR0Hh
nZ3OPWaOaqRsdSbb1FKpKPQrWdflLpSjtTYh4wIfUV8gGMfAazrildKeut5tXLLW8vh7LlKTTIQa
5oI/ksnJDbSZNfxpgJEZhJdNuWWIYK1VV2LrmYt2P1ejdfDVn0+r7qqLxb3tojYZJwcliU2cXd8U
GJzS1vuk4fR+80L2xwPFE0wdw0Kjv7vVWTkNlQrlbeNm2TXxvKJF9MnT+37xPL2Ei8IQ8jMWKf3d
BeYUZtMIiDwEAylBZAPtV+JfOGZIcPptZ9ZcG+2zU9H7ooAXZe0Eh0uHXS0b71YosiydlOQoF5IQ
fEyGX81aLnrN2C0DHWQy0tNMuz2vGh32ape1n7S1PrRUXZN9Dp0fBTz9VDouv95Vc10QDldU7rZ3
JPT7KW35tskuSFP1guT+nEu/83asdve0HbIdybnDw59XzZMC7ueD8Ok90CIHfwDQ0lcC8Z/vbB6b
xhUNBOjUybRgmOv2rLDMhoM49J4VYZr+GtRv+zzpS3jkQlpHQl/DoOyEd6dlgAzjwcURNFopcNnF
e9JbwaWsW6q7WG4L3Hi34zy3OK5dPk4XA8uALH9w5Vg/ikgFak8qDXb0u2vTjchUH7T8k+LLFnyG
Xz4jBSwtU7DbmAxB2r8r/uakc6yaLXTb81QdRrOZtrqMjLU/VMPF6UP4mNOuCTpwD23MDxg8hmtf
hSTmRD6QhWstgUkvYm3GYXTmR7EXuFWq8VzrLS5c8SbRYpxpA3ao3sPvnkTmTSYKcyObZLiA9YUV
tnYaFACLB1rSHZhq42210xQ1h1NvcqdbUPhUasZeattCiiVolLEd3/k2a+r2OPEvt9IZkFjE0e2s
2draCcf8el7k49KkAJvj/sIee96sRYhBVMfDpUhc8ExV+ePPt4z5YaflctKER1Pp0goGtffrLSPh
OiYL56ZtlDX0TnqtWbvpcEii8a7AII6D0zKwDINOTpw5XAs6XuvUlt5Zhq1zpSV0rzLmyxiXecxS
CEJ7bO76cz2nLuNlf9nzVwCEqwDPSbPKMxpJCkYXO7tMH74vqfT3nPL0td4h2bO71trWoi4R9Ylm
rTnVY5/P/ZZojfuChjSotOazysb6sFrhq+S0SduIXHKLdumvVyBNutmhnWJvjYHN20Mi/E1MI0Mw
3njIDuqJTQ8PcNcR10GuVYHHfaljmHvk+s0WWX1pHJLDkleAsCIl70h47EgQt0n9sVNtK0bJjekQ
BtsgjiNRnHtkJldibSReuu51z9jMTb8jUxHGnrDuxsF8smCrrWbfvQvj5AdnHTJxmU/toVG5ZxGi
jcuoTLxrWOFiE+devQFxy3G8jGVQjBPAU3oDO4uR35bBJDf6wEtOfm5+0sP53b3D5MKi6c3a96Eo
nKckZkbJvYP17Q23gXetnpWmh0YEZXP4pI3rfti5iHyyTRRqdHIJbn8vZi56elV637HCIqcKUubQ
TwjL4r2EcLTWF5JSTD1Mj2TNxHvhNSx4DeWXMXLRp6GmgvfGcM008QuY5AM5KJfhYhOdh8pnci7m
KK2Ceua5HlIkr/zuWlITBmRjhesmZfsQI08zZftb1ULNFhViPqNehlejqsCNmzwDkkPhIW11Z0MI
ULSNkcQ/jEPe3DLwDwNDxMONTJJlbQl0GpkFa9p0lnpDLNNwiZjLP2cie9Phjznzs5mVY/F7QAOl
e2hwV1yOOstyK7OMiEneDhPTXBXiw4M9c2+1A9uMFg9esbaFC7277ngKOy0FVVjpxD6V+jfQVCR0
DAbj7DiutK2vIM/tEGnbmgsJm9lwNjG9ICpQHojlk6rgN3cLNwm9GKVHV7vkr89Z6zh5VkSoYj2i
eVlDuH4NmJb1UhFHQtx9uv7z0vbx9ZgqokinxOKgbr8/pTsZ8SLaUtmE2xQUIJKnAdmcf47myDuL
F7v+5GkwPhaWHNtOtlYOvAzzVBjHz9uvh7ytJgjS2qJjMjcJwBEaLJ5zSAoGUeWix/vJtxQE2NnK
qm/OmpblwoHTsakKHn4A14wCRjdck82YAg9ho9IHvmodzBaiBKPbyZqPkjhVc1u0LNd2qTZ3O2zY
eZL82i6r51ktIxGZPiiuuekcI39Gv1hvUgdVaErwcRDRm7zHENueL453CXc42zJleKthFATLaL9l
bv4sYt67pnfTdvbCZU9fS2yMfqKxUjX3IHJYqTRW/tPWKjNKrcaL4icUZebGLxDcG4h80YjwNPlE
/u1ibkFg7rm+Hzur21WO2k2LDDG4pC7JyEICQkfWnK6e1VmwfjRFP7+UC+tbNnCfLzDLg6xp2jNU
8ew9Gctum8n6MUkyuCkle2be8Iak6xKGULLX+1rMFGDGf/73T3Pud1yr2hYOAad5Qov7oBcjqU9I
C8Cd8xfSWLTnVpK5PCwsFwnE5/OpmxYu4tSexx30RKNmgN/n/F+/i7yz1uUJLWN+RY+oIMrQx/de
If5G893tmqhtjomBiqgE4M2+wMcEpZseB2CpZBFDTOvnytnhUfLPibrn2uW2t8sX58GZ3e8Fel3C
DC1xztM5HPDUmBtWMO5ie/Z2RPVQsiSU0afH3Xe4fChNeQWNXUD6VDpQ4hii+2bHoZ2v4/R0/Z/5
PtULfa8YhSQqPuA/TzE80WuleF+//J9NCa9jvulfm/n2tYW7/g9wS/3m//SH//F6+iufWDoN+GAc
C6kP/ntP5z35fX3z/LN/89//7F8GTvGXidlHLT4njcG/EWS+8RenIboLPC6OopBxMPoHQmb9Zdsq
KoeqHcKDKfjRPyk64i9f+Kxj7H2gyHSOU/9cg+u/C+M/QcgoaFiFfi6glYUUbyIlssN8HE/1r6uU
LDNiWC2jx9dtzYQcAAEnL+CsGArC8/zpiYNFtBqmOF/bLcLgpepeJyG+0Hx4wmis34Y1BYddjz+6
GQBhRj236SaH2CvN0JgT1uVdJvV2rzQ7Cr5YBgt3Ok9wesPBiC4A0vszOLbeKorkEXkoR0JSlvE0
2E8VYNSt08+3laW/FhKf9kzfII9sNAI4TBAtaj+syDwSaCZWhILX39hjgd07w3SGDdGh4DJDXjUa
vhGMeMbqf2BVGIgtHRGIFk50TYKKH+BF0TZ6DfTbMNPygPrf3HeptVxITToHsmdpNUnXKlSbdH4M
fbj6SfY80nnN8D7gte5mRprURRu4y6GiGfGc9UQUpMLqb7GA7LImsw6SdQNaj91vl3Cuggh/ULaq
DQqmldvP8GdS2+jfjN4/tnPkbIzGdG/UiX3tyxifaJvtZjTE9Lvq8tJNK+w5BLa9mCyFZw7NqYu4
FTKgmoTwM/rueYbej7zAyHnpnPlbM/kxyiZolXIkg1z4eHBkacqX3vG1yxBpzbk/gn9OujENlty2
Lpes6bd2Ub2mRjfuAHC7Vw2h7NsxohbuU0MAfqw8YhoIKM9i5LOjXzcQzydx60F+lRI5e0WX7Irk
g+zJrOYny5MxwsEZmIcihRatfrAUO1QSPc/aDE80A2iZlF525lb+N18xR52BX6czPMfb0SBaeQBO
WilKKb+F6lc28T5x83vCUO5dxTT1FN2UhOvkvg2xgmQuM4uWIwi94ii/BQdGkLdipC6Zb25GxU3t
AKi6JvoelxyMyz6tv3C/+q+T4q3qiry6iKoJyFsuNoNsQVGHKDemjVNNyAyX9jFVBNdBsVwJjVE6
V+trXk76Wdq1t4Yiv2YdDFgnNdtt0Vfdox4RdW873u0w+/doSq9LE9Q1tGXQ2DH5tO0A0n7lDzhe
wdmooChT1M2uYAx4XoZk0awQCctry5nkxrA1ou2aLL/y8eZsKotwHUgecutwD15FXTtcANVJOCPQ
2MnjmOXMb3cLXAalaIoxJTXmnjIhvW1Ty9sJKaAK2O2jEbXTXeEX4PEp3c6MLirXneUgQk7FLkuG
4jFPs2TNVwUwyZ4HMjTSDt1sr4Vfm0oOmzAT9QFnYXSxzCMcj3BAJbIy7EYEfdi8VgQHBhGyYhwt
sJ8dJgE3hBD4gZwQ8U2QptZd61zgWjWv9CZkYBfa7Gf+CMTNyGO64V5/pacLZ0eCXr93sw8gdAHS
O7oVsVAqolAuxk2YdajtoSnj9SYDGacOiuI2JC/DieIg60YPSZ4kZkTEirVQ5AU525ruBP6o9V/m
1nce+qh3z2pvDr+gT2E31aml7UFPdwkR5efIB+Z97drJA0aI+hBVBJOuYgT1t/liaEe0xgsikzz9
4pTiC3Gx3bYimj1q4VLJdrqW3SBeB2kMSmo2BlrSUv5wOqPTP1XLhRdrjApJxYHMPL4OZltcudIc
L0CRjWddB3AVFAeoczfPtsYSffEsomsx4u2RiojAdVZdhDcJzScom9ms1p5W76cBO/HKSMw0KKYM
8tMQu3uVcHw9LqE8hEaXXsW6D/1d7w+9kwy7wurqL1DT+hWZQMTO1DPI/xkxdp8gnCnamcuZLunD
4PM28nFebsN4uZnssgiEhymvmsfkXKb9DfsQKQlViONAt6MXCMzLmZFr99FU65vFJFu2EmV3RcSg
TZ90SQKsl31QiuQweTGa3MiqbuxU5yBOeCm2JmjTNmIIqNDUxNiaZvoPuP/P6Z/0QUeINKGIXrHT
CelFgqlyYguwj2GBsnhwTVbhxH5FxV0GvgO02fL9G/IHvyfCQxeR4kckNooGlk6WfDbA0IZdtWyG
PmR5CWn7VmX4iEqAXVG9B/oF5iYCC7euOl988Qae5hxaywYxjH+JVhqnoxjU8CIzo/FFw/UI5owW
xr2Q3pvdppfF2LP64siCwrbxhHc10OxaTUNmEoXrxeOtGGM6H16mrWwtvXVRihFz5aSPEhnPphb4
5f0lfixKZ2drYx447AklkBH/K7NjxCC+/FFN3FBOm98PdeYyK5xR9eX6cRkWmOj1vGa3Sx9w0CGA
0jR/3ahv2svmcGsOsIS9gqWn88sfpFChmq2+Da4IuagQ4DY5MWsbl1JXxfAlF3gLrxkMNZeeHjHS
YxyfGA48rHDw1lU5iMDr0XhCIi7RbLukGw9Zc88RuQuWFsGM03XFmTlVz7rGKoT+NIBpt3E6+2Uu
CdKx7B+kHcGL6EiwTUz77xbY/1kl+3Mh+5+71+r4XLy272Ml/3+Wu3T9VEPwvy93j8/RswKWvKt3
//Xv/lXv2n8JRXNyLQXqIS+Aju2/gCXmqRJWqjtoHC7nyn/Xuw5FLVZ4qFJoERDf0Oz5p961/zKY
G3AXC5SL/En3f1PvCv992wj5p2l6DqpMDOqOK97VuzjZhE4QRIH7H1Jh6T5HbuKvEqT4x9iawwMh
1jY6xQKUUEYuIraaXa1P+fNk2e5l6gEwmQilSW0EGbEc2b0pOKzSe4iY+QGJ8CkWezW7njFIjJk1
3AwN1NhRmA1Kqz6/a2MGcWRNN0TOWcQsUYy1zuVMWC/laoIwENgZMbY3PaNUB/vcRs9CnGBp+DDF
obdt1PnXLewDSUnOswtAlvwJMPCVYNjk+QSjFwsB8mNHhhANiNVA8xp3x7gd2wFCbwozl2AH8m36
wgxqQIeryXCVQ0ILKn+8qWOLatL/MYJ5HGVxKHraka24pWexrxpJ5HVPElol3mwjmS60OARg2GTe
shNxc5dwba/gGlZYBDW5I875YSKTx9HGQ29zMf1Omod05iMnZna0SkS/Woj4naAW4nKJ2tKrYpdM
3XfqkOUYPrY+UsO2xnwKF+XCMuL8SBjNo2PPQV73m9yCvVsQVmt45Vtn0Zv3HZpwxDpOnoMRJL2v
SdSJJZth45INh6dhxbg3CrQlPdPm/kYT9kD7pZ0e+mSxz023AMYkpiDJqs0sce4TAR0RqRLFdzSP
bmNzeAlttpmotfLtNM0ew7rCurJP9lN7oUXLqH5N+w2aRsfpnuO7fS4gLN6bRQXJpLZijhikh6gw
4zs9DxdITm0nd/TloqvJgZ1sP+B9QqacOuX12GjaGpHlZaRbV3EKPzVzvkT5fMTqN6+7frJ26dgc
oqY913Ak6pQAY4SjB+rwbM8JX1V7bJruLSvvdEyT7Hq+eWa7Ml/PHEo2nbGxcPPotA5WtW9qJMbj
aJeiPs6DfgDJN6zgN6w8z6N7OKu8SvLXHkUuOQ3FtL0nR712el7r2qrJpf6A8S1Ze/NAaHaM2HFL
tiehXd5o7Go8gKVtPFuhRmKI4b/lqX9pZgsatgKMZ31tdh7GkTSoMnHbLLHxdWAup6OuTTYWlIo7
32F+HGIVXYmZdBeTVt7VEpv2tTEu3TbxjXhX0ir+Lq263+PWTLp1O9sOUdGmvDDDdt6nVuM9200d
00groz3mKe+c0I/+HEZJ/iU1cc+s2ZaSQywgMMdpBDDabaL7lsxoJrZdSyajPn+FeIDMtR6r69gx
h3PXLfNvbJHu3WLRyc31LKOiLJ197FT+nraLszWccdx2hqECi5bpkiyd4n7pkuke91p/keqyeCia
ud3Wg2hIYZJ+89xRLge1EQ84t3z7EpuTPGSDN94QtWcebWPpLzrsXF+NNO85tlQTPlCf9I/cyc6b
2LevlqaKX01r6nFSAG35QXON0yspHf7l0o/JJWOW8WBjw9/noWdQ7KHkvfa8Sb8dzaE+YvozDkVW
xQ+UVT4Bl3Zz4FZxD6Y26oeCDLV2xfSLpItCujsQ1vkRS0cEwZHWTZqDNf9kmmqeuhD/7lLQA0Hb
ZQFPYuGmK8Js6tcuRcYhqjLbJTr3oig/SquphvO0HdojHFwig0IE19IYx9UsjD6A6gcKmN73xsZz
vbG6/oHpmrbNzbnmKUhVekNrVPhpEn2LnZ4YbyuJvhLrjb4QWaB97ZR6uu/04uiGDqOu2l+uOb5T
roRefjnjDV1xJz3Y4VStGguAMprIYk1fw16RNH/fNAQA9f1YXMFiZuo/zn14L8dRaECMZoIKWnep
yyAu+cO4AQF9rB0XHlG5MDpat+QWT6i48D5vBuyjX3GZ1klQD1G1sUkEf8Bc5n1FI3rR5h32boFp
yNVw1nXleiaRVgKaW9edWwa4/WgnFhCWTPCKc2F0vCvzVk7dIZbNXQi0gamG3tHesS+QQU/rhRMm
zAaiKE1sYLSg0xlAbrFvF2vYh011cBMe/ySZCS1sI3qp8ITTvpk3BZ2CVT060fd4sMeLchitrUYT
FNG1Yx+rOaXV4Rv51o2z9FYuThTIPiqO/TK6Oz+ki90vnN9XCzSZwyhtIq36tD2guPQve1uPH2I9
EococepjhsrgtjIc/TrO0DasUed0e77r6YBvJGEs0vmXVJvc75TS/8Xeee3GkWzp+lUafXGuThKR
kR6DfYApb1j0kijdJGjTe59Pf76kUYvqVk9LmsFogCH2BlqimKzKyohY61+/qe7xAG71mWZp/gMz
uXTel26/KqeVMkxrxp5Wj5zWUTOtqLiym53v9tpJpKT9eV4ExbEuUs5nv2pPciCIBbzHinlmQlYu
/kOonKcV7ExrGathxOVWlF6B6PYHQ+X0yVuto/hmHwCmd/bDSEpPrmeEtBTp9BwU9iUBo/EnomPb
7TjtK+O0w+jTXmNMu0497T/jtBMF057kKLnYRrYKXcgz2bJ6Rj4fCEXGkDVKpiF85+3jmlTUtjbt
mzCWwz53FYAgM7LO/AS3n4kM2ewpQMw7+mt/3TMKWLV5YJ7xr5XTpvDMuUpa3TIIoFaQmzxM0aJu
ibFANTpUKJGj8rZtJ4pVZJRW2K1wZCTEEBMMM5mrnlYO0Az8pD1JrdCeC6MwQOxpZMeFdIhhIzrR
ccNdSq2ffwB/xbJfGlFeMy7WonqTeWXrHctYeDSEVaCXs6a224YIxxSFfFkEkNmEpzCBtn1/8BbO
0BcejgHGyHltGKOYl/rUM+RpmKHoqrVTTWnlwfZ647xXSOeOHQ2XYKYgFxUWzxF8HjcRa2w14niJ
qTeTPhd0DeJSDrrGqLRb2A4CjVlpjb6ybJKYCoiOFxNui23zeoyRpM1HP1XZW4YwdHjE1EKFLl/L
i6guuC9pcW65wwhRNiSPsxryeS3TTYWIAQ//+l3dHpuE1NIrigMk8fygo82eSYaEc2pUnyAC8oFR
GiczFdf6GdYn/SLJcmzhdQtMsg0/MXPpVkPY3ampVsztUkNyOsgzVxTdCT4mcm5W5W1g3RLk6+wG
CTJnWoNcYMTQHWsZArvQEmvLz8iOUi9C8v/wcrfJDIbU5ieWOfeSUiybQrf2tdmbmzhzobMG2g7z
mYssajjzAlU7Vjj/l2LM7+IqU6bPiGTFIcclwu/OOM7fjWoePBp65+OSg5F6F2fjPgSFmfUduJhq
i2ERqsXwSJoKzyD6zVwjxbkWIWyCwPKe54//2+f9B2MNOFGwNlF50k7xH1KbpBbfbvmOb+5vIv/L
hu8vL/Dc+9niiFEFQI6KOgDW09R8Pfd+ljyCUy9M+i5YnMgNP7d+mkWoCpIjAdmEGSkssc+tnzaN
TixiWISmORrM/+9q/ewnb98/iggFaedEE+f/b4sHPa4Jt45qzDk6K1k1vHiToHY0rHNqMJwlNCcd
95aS2utGKyv2ccPaZdL2m1lrkjTS5SOZnqk9GMkCP/ryvaG4DbpBe3ifh4mjzyFf4H9TImqKZ0FX
OBe0VdW5FQm9hz2TkK6kWWMWFORoeBBqGPW5SyyCQU+qaUJ82+IDkG9b4pMOlTS0Ha7X3U3rDult
7keQiUo9zNdZkrJToocjzyRuKxx/YY6an8qBzCsYv04/rAdRE9wu47gttixBV5mCfnVignOVOI3Q
NoPzPrewtw7Hsrgy2FEuGxRbzJyblinzUJof5RAlZ32vDsq8b2XUwnVgg1vJgVx4OM+++FggvcYk
DxP9YO5Qll30aUBKGx4+7V1oKP3OCRN9pzaed2FMar/CDuSlNMLmA4eIcZagpLuwkshcK7XubIAs
x3Ur+nRJxqPlHreGqZEFyzRe88x+Ic1OsVct5Edgb9n4dxDt+RyVuCKNLpZmC9Mm6sZ9rpjaY0fd
RKfjjbgTJwnWG15efBxlpBPXMYTq0q9CRuOJHnrvLD1u6dMxOTnzSdk6Yd9mAINinbQ4LDLbdRQH
nD+h13bvoEEo7znCcZQEXxbvbKwhMNE0iyFaBkpM4Wz68jaEHLvGg4duVNYRiVTCq85A44jwyMjR
tZZJ7jr7kBPuOEx9vGcKrUw3VlgEDJkJ6itnGOTUn3C2VAiO1pvqwcOu9MrAGo3YRL2mT7ZrUjgs
3OMO4OeMQADQ43hROzqYPLY5zinBnnGxrIcw7efGxAsGzcYA7tBhHBHgRVZk+pJcZ0VbMZS3HhiT
u/rCjwvYAQQe5OOS4RFQqOIkIdp5o8w/jXrsX4spN81Mgj49TbBtamesmqHiZsRJR0C8RXgHN7Zv
UDMkJF81LXjDXOMX0Ukbg39hUL+W3H3Tu04qzX0MwtwiKCKW7kPkmvWGeL1GvcvjViQzvzTVdq0l
LlprfleNK0Wp+dkZNjzqceMwjJu5cWxv/a6r7hrT7zmy8yZdiCDhz5WslGNVCYg4bJvG+aRn4xie
1X5rNjO9dw1c64fkXVF7+v0AReJj7+HuhouRa+WLNEgwbxEQREKhRPpcV9Num/ucijM/pBLC+gBM
dSHTIqaoyaIaEonjNavBmXzu/HGwHxzY2nIRVQ4IrhUbgC99bZ2LBvvRlgYEFSXxTJdwjatbpzSq
D2HoixMiZMcV6EedLRK/RzGExKE9J2u9+tCVhjErjS7bj6NaQKsC8F32djjN6Vq3Rdrk1OTYZUTQ
yDyNuRdgFYzLwjYnwryK9qkaGf4SImylzUJaiW1ae4SuqK42zgyeyo5EiC4jCNagaW9Dy1yaVdbe
OSNi4JkaNhZuBcNYH+IoHi5M8GWgABcnMiK7hx43J8VYq3kstoxtO3zl+Bg/Ylw23tdKxQRT1mI4
CEhqh8byvYMDBY7+HX78RZfkwWXbKpQ0cWuqW9GhKtSZ2BHv0rWnOPGaNY1RCjsla9JrLMWtZTt2
/qrCKfcK5CPFmBEhKcFAXTxMjjAkSdeCQhVwK/yUBl12Gsalwehvstxy+n7L2Gm8bxiD2ChY/Uxd
R1GmWTPmi3z2TZT7AP6dl38kPC/6aKmeZM6CGAEzx94qZ+zh9Ts+HfwBBPklp7QXOB3FDEN2itF3
mBDaleasMxvWmEu8UMSciZgkntUwu2U2YF7VesNDWIgGAzyvK8JPaqbn18zNO+K8ijKLUWTqNe6z
5ih9Bqc4CM2QnY0BUzmRv69CNYwupJ1hb1MPGpsOoFCxwIxQyL0fDqJbtNz+kbDjyTnPzAdm4DLu
NH1biqHS4K/n5cEbyeYk3MUZcA7ycDwrCyzYet/zH32lzBZ5JYIrT5ZVPIMeyHHDaAmss3BDfx57
mbUkZBmEy0utYKMzEwJKy8jV1tsCxEcb3HjXdK05zo02Tqp5nNXZCRNDBHcMFMHfbLc/6/ICFrTC
tHfdIlTcqnTd9ORNrM/7RDX6VaFp4bFWqooxl1mtMePVfITxp2XTA3L5BILgKlm14zHmYTnleEKq
lyh0EWErnIS3VhGlSxFr+67HqHNGZ8dPZbzC8zyzqg+EZ3W7GkMO4ieG2gB/g3cKRaAjhcIDY9ix
bIzsQ4LhVYhVSrWxTHtdV5BwZoMaf4ztksgsEyevMELYNfNTJ975GvRGlgtGpwuyBAwxY9tJ2YcM
ZV2qF+jNz6VKR4G54XgfcxpwUAf1VZzG9h7FVw8cR+K6nlb1RYrH5KPO4bNmGqLtNAeIt+zMxdg4
MXb3mreRdVW903pD29iRYbF0YxgIta3qD3RGRClnceucNXghrkhpbujoLTvfqW6dLM0haIg5V5mT
asDdwNFB2B/TeNT0kmgkndaNDrHBRr4Mu7TAWAsHy2EOWqww+CGMK5pD4FbXVTg4IfqsItqOQZVd
SLJPdmQ/ace2XYf70Qn0feM3Nk70eVNdk+FJHouR2ncQhmUKpq0Xp3oS24TVCYsxeQ1dU89xwJa9
Iu/JzSUjrFJTosocQANMcfRlEoFfCKPO34kU//yu4eMnxsi/TvzImsB1+LUQkj0xU63QOkkjx7yD
WGGIZel02RwjyvxTXToGWtqivipkVd31npqfmbQzh7QMQXK7KPROKqOyllpm+QiNRIDqP861mppL
Wp+SUQMLySB7vTP1qSs1usR7cP3CP01cBVi7ya1kHiesQoDzWuUAzZrmY6sP1tJqafMVxJSCDcD1
PlokphczL2hxoDB95VOEdCYgKzbsmeaF5tq3c+uUmYi2c/oueuT1lmf4FQy3ztjgBTPmQ0V5FgC6
kpNu11fO0CXFLKw6I1xoXmBjMGoMw7ntlfbKGozu/Qj5Z2UVaXKDCoZSI6+izgMDc7t6huFdWs5l
oXlrPqruWPU83DFo6cvzoNToe7PcjBDcjjE7lcz6OgYk98tgZ4VKk62buizdbU6b5tEn92a8ilVf
PanyXP8grY5sTlmJaFhBGmgZnUAMxMFAMqQOPItBBRLeqiZDzilhI0DK1+aNLExn7g5d+bGrgzJc
oMMS2TwYY/cQMCMCtqtNWkhyEMd5JoP6xsMsT85wy1Ivotbi/gPi6MwdE7JnZJ/E73XdLy7yIq4w
HaAfuggH3Vm0auvNFSmsfUAnfqr2jXgI1MKOZzwFeFVz7uKWZEki1BmslMYlCb2BD42TkmDWlZWf
MvBFYLlQFVqYM9tIWnfVMePdWCQBZYD1eo4TLsGoGpqXuJ44+1XuzvgUPG/eO5m1NtF/X5AblBfE
F3b2SDBhrD+GieIwgXIU9Z1D5uJNYCvi3rbjptlk2Opp4AFlDWm+D5mfFk2BSD4Ow3wZV7UPkBl7
j5IYyYt6hDc5OLkarKgxR4yf7GA5Wll5/mSSWVrIJbDytc3VQNUWLnDyk0tC5HCYE01kz0yzcm+c
rpAXIqXEWFL1OgpETMeIl31u9lN6dqw8MkcaqdGacuuMvPHZ2BbZSsGvdVlaGstE51xe8GQzRypC
kd1oTpFLtHF4Z7rt5NOWy/4sEzETjTTPOvJ+c1w7YTIjuXeTwj9z40jfapFNMLhIMDRD4Un4d9xK
jC9LbaJwWFzSewefktcEayp/n3cWyUuF48aPWRwwUdBiLOYA581F7BZQ00II41aDL0VZ4nJUaxjV
mq7GdMuFE5iR3Q69wUvxjW5GGBRuHkTGzBBeTj6bUu4jVCEU+OqIE0LNMGPQQXfWkC6s/oAhmwL8
13IV268I9rVsxKySnlOua61xd8Ax5d0QOxTNI7OoC07u3JtpMnD2BASnIHgiwgMGLedaKFUDTgjj
BLegfumVqG9M6UdYMoTWuNWxEpxBSGmWJCq0s2aoGnQAtb7TNSmuqQPQAUROiqwNK1QWTZzNMHYa
CVBj4kM6sxcs+jBqINc1iEQTLYbz7RZko6SFCM4tMcZLNXd8uEl4ZexFIimnjMhdStO9pU511oI1
uSS6r1pCnvA+yTKpbwcMHnDyDDCY9AYZffKqzDr3RrUCNdaTcEdmbrweFcyVB68md7F3zwa/ZpQh
Yv/cCErWpZy0ra5p9Du7aLuNnsfe3jTziPtuBpBiCDWG/RwY6ywS8kNRjnh4ZEGGWWegJNrKFwLC
D2LSnKxOL6SajQJxa7DFbALKUuBLtFiHLiXROW6hwTS4mVG74iNbLzxtjLcZRm3BTCRBdsXkz15R
wplnJvHVlzpeRVvIZ8oZEXTQx2DJw+YJzfaqUHKYDuy8covQzV5afetfsfRcIu2xsprbeA+wPXoB
u0vTOjj1pQwXUjSzTKd886zVpUmwom3DdtPwdTwYitZs/MDXTgI89wj8TMPwtIwLb1gYguGbLxpr
6yYettFuE9aXgySgtImb9sxRPOOOtaueqRg4PhSVX60IrnSTmSkHCCBKp6sfZJ1R1atRuDUKM4RI
ArcbJBEsI6nZr4KmkcwK7ISY5MknvUmTZO3aBeGq5MpvZU6MkUtu516JebORxUVmrpIWlKxeZi6N
WGs+lBx1Pr+tiFdCqFwTruSlK2P7qvbxRZwNTY5OOCe2flVE2Or5muwPGdkgE8u5wzAPglV6pSZq
uDL1FtctXT5aNIOcykWE8LlvlPp40Hvr/XR8Lgn3s9OLuNe79yaHMp/lWGT2qmmz+p700GH+f2nO
49xNtXijDQYVTVz2/UKYIVKkcfAZmnGkNAusy7HzfELM/rOhxv95ZJG/RQ4PNykFXvkldAg3euKK
8GMvXBH9CN6fQHSLeYSqo7d6xQsJt8GO2iK0BUu2F1TwlRttHEFTtiRjBpIFDW2SBL5yRbQjXMSw
/AEwhMuswWb5Dm40JlV/4kYb/BrU4I5hCBU92Fvg0CiqNFdE5GzCMkg2g0+T4QXOTq9HbZbXHjYt
htdfRXjJrnVET3PPH/t3SVUrl+gePxAZWxyUwh4vPDfp95bs2ouq1XEbpVqLRhUyQAc5U/aZgGgL
8wn0w32vSzs5INbeVqWLaUhjN3tMoi8ULJLdWdj7t4bC4NxowxRGWXwW2jCxZ4T4UqNV5IPOmIAz
eoPTgqYAJjTFIdVt79bubOyG/MDgo/cXRjFACiTKlombC5kxj6yNkgLdbpzK6S851P3rIM8folFJ
LRojrUBxEoSfAhnedrhwbAJdPwlTErMiP472HT5nC1JScWPVh8eJNbvQm7RA2dhBaCWu8CLEafjg
RMZmoJOZdYmKVWtg0J6UHThKEWC57QfXLcMo6mBKNTxaJ0vcqiso7LStwLj3fUh0EpzbxluVkolh
xSMSzSC65BeiC+87o9KxvXHRKPpDXAHl0KLblfiUqD1kOwwz2/Ug8V0HofYu267HiLFTLtvGis/b
2FTWcWe46SLXXXFuUEDkM9i0sN5Rk+E7qJbTNWUHhkn9BQAaPY25g2ni7dK4rOoC1y4UOGUL4zQ2
JUbQvqdsS9DTfd7HdbhygSKDOfVu5O5HglHalW8rzr7NquZDLUuX8IDCrPy1M6ArLWr8PGa+Mxbm
ojUGynAIVYC0YZXHOhY/urgzC60nrbdPAeScygK/sApYfC0OuA6K6sE5Qy0fmbOk0D1sYx0L5K7r
RkcQ/hAG1zX+/IexrnVoxFnoBXNPdaGZ4KSjLupOIaO1JjYtoLKHhJq2p4auVer5ENV2NnfCCgNa
ZFaxteQ4YWrulEzfL8LScv2NNfQN8caD0ECqmdePi8oqJPawXfqY5UGyp1z0PHDKvMzXDNgqPnO0
A7u6oqeedSqV99zsnHOkaFuqJ4yTcVeYEQC8rEWdACNoE6BuMdjXThB8XceVddaHk2FsICTj83Lj
12CfRikOoMt0/1p20U7cnVy/bHBKH1R9OAkmLkyC323XFMehhx92lG1NH2slaFLp5L5CltC8LjM+
MtmheE6GZOuJSDsLBk154HFeZPj3Oa04kzUyqrS3z4UoCLzq+hmm/WLlJPDxeauP2nie1O2isvkZ
zKWuE0WG55UQ29z0g0VXwt9GbKfDAwtNGDBoGoI4wmBScaFOVcDLw6JCZs14vQREMWxvE09ko0bz
rxKt9UGyrJBpGuBAYXkRhXsCPD0o4UxNsmo+jKOAg54pN7oOplGQx5xSzo9a1s1avIs3qS3oIzJt
Yek4mENNo8Vy1TQ7iCA0PzmDd4mRcLCguGnWnUs+RtuEq0iP7YWqWfW8aVzrbtRHxhTqsFTtvjqW
MiQBwAWlJQtg2xrWJVvfAT99Ct1ikLsowOMoMZZDyGhBH6S5Bv9eJ7ndrHVT3Mf0urPeHB5AZ081
nwa+pYFd6ZV9pSAeeehqO7oF1nn8Yq71Io35LW2SsyxgcP6v3+WTc+wf86GJZGJOWnJVCqZOKPYQ
3Xwp2Evznso9UJ2N4mFj5CfIMoFC4TB7fW6c+pnJKlGIQM3Ru0TVQWR9cI1OFKJS3wLwoihBFMJI
3mTVmZmLBYjMG2fp9VE58FwGNrNQNcKMPGij4X1WpupdC2im07V0aFFhZlHKwt8rTUYgDZqWPi/b
XaT6jb/2PVMpt6VqsFmkubtn1NwiNX/aTZSnnaV42mWqacPBL82Ha10PlmTa3rVoBMqUgk7oygou
dXhRhwo8trgQ1rYsCrapibkhXXB+WXskopvNcexWq84h9qQhXBH+YXssdL/bGyLdyzDy9yhrwiXW
GP08ko5PSgvjNJkyWWuhmIwT1wR7nurYTN0pn5x8JqetCVTIAjJxe3cNbUfutMaqH1Sigt8x8yfD
XUMTuIyqAg+UKkJguA7bzGnm5hgQ1gVbLliYIix5ulF5QpJgrBVdBkOlkmddhKAvmGqDZdPXEaxY
zkWhJAs6k/S9PxF4zInKU1F2B1kZ7kFx9bNGJw9gZrte+pFNAcSysMDiSefAAgD/Fz7QIjxtczx5
vdpo8HsJz8s4kztTBOkiA2BQDxAKoxN4Fcyna0AQZtWYeAfHCZKvvQ/f4JTwCGVtIe24s91WWSOU
rM9chZDuzPK8O7cIWK19UDSfBoPdi1GgPHWNRpwHED0Xmare6rFLiHJfJZA8DeRNMinPYghLs8CQ
6zjBrgm6wY7TrkRHpLRQWrDoMvsSqxm/wr6BPFdYDbOiHo7z2rj2vbFfcuc+AOhiIhcFLu/EGZaK
7bekDKlXiVNn2Pz2m1KfMiBi7Ol67d4TarcyC+UOP2h0G6murnO/3mk4nvgqGSJS3VeJ+8H1tIVd
+FsElbeQvokDdU5E20KNbBpj1Y/NPUMO9SQqtAfUKlDjm1xfqJYoV2TD2xsc8W4Mu6p2vk1MSWVG
/v3gON2uNe3qPMnksK0IbWN4G9izJAGbbtvqjmLRmKeGdt/qUx4TLP45ih+Cg9Qg2Ouh8nHE3Xid
DEI9SQvnEJbjMNewdV+mqTIsNEvNVhoBmfOigfDfGuUIha9BedDG6FvZrbBPX9Y2/EnEylle1Ycx
J099GIdhbek5FMdeXhJV09NQqQHKTQnhSh2I/KlUrN8R6p6TTlQhx/WWmtMGW2WSbngQlWLaOivY
EVorOzrQWH8ga6Zdghbkj9hR4+cXmdlKb0ZGQxUOO1oi+W5geAvmiOG66PqQE7aRw0ccVrCPMPtB
frCGpp5wwURcB0ZQvyddAjAC3/Xw0XcDgIvExXU0bDwMiQxJ9O9aKRvfW2ZFmaAc4Ywup9MawIWD
O386xHGy5kDXLBLqNvbTQd8+HfrjUwGQe7R+s/6pMNCfigRzqhdgmNX/S9n4p0rUqW2iO/k2T+Pw
4Plw84ebv+i3+MHPWlSLXQQevTqFsj/5Nz7zM2znyFZRnJrwXq2X77z2W+YR2WZYOmAwamoWT+Mf
/ZZxNBnu4ZBFn0ajhFj2e/qtqRH8SosqdHsyyzFtnYvpXx3AiGtqcFTL3JROqTPrKCIQQvyR+hIp
auDf91Ec78Ds+3zLTK251NXB9pZmp4bjCq8N7V0RQuxPa5P4FlBrRvxJoHCyGl3dF2uoB9q7qVI+
EJUsThNFMTCmMVKkKRamXIyIdT10NlWW2biuDXaRHwsl67cD1m9zw/BYJLZbQwk2iK3ElSueih9V
uXLUptjbjdVcY5IVA87ZzhI8i4FUal8IzpFFq0ExGDj4HUTq+PJVbXkH0pZ3c2SBSQFjzfOOBSP8
elbq6nhs+JT5i06HRooGGu+OMU42FiyI00IGcuMaNjEvxqhtBhwXN1LHXZKtrPfmSTyY552vOVd2
5tjrTo26Q0641jwcIERAshFLxnqkDDcO7aNv0kLqMid21e6aCzeDHTIrGOmo0AwZieTBQOYR9lmC
ks4NUAOmXXtesA8OzADZv4+LoA47kKG2xaS1i6k+nbTovUVFT5AvPAUJ12zIQnodTx0AyxhOKer5
iAfrcFp6tpmeq7qAJ4Yzk1tuolBhluDntjpuG1Gb4c4FtgM+D121XTaNaYwrCt74GjZAYZzbSVlL
lG8w1BE3IoiH8S6jYaaNVdusXLNq11Yt/HuR5Z41T/LEWadlo743MOIs8T3wvMlM7dFx+n0DTnUm
U1seZ+WQw34VCiF6dnttmXjl+sI9w8uDoq7oas75PoG9XnYLGBXBOWRZSMSC0IkMUzQAbUN064pp
3r2WtNYmk4ofrIMWk4RFnIliEaE4hHsTkqozWMgBF0lQ25eEcAzHZI/hBtIHBmNEwLKaIeSi0eiX
HaSSa0xEsp2w6K3xgvSWIrB3MG9p9UZ1vHLTQF0BvRs7E6kpjAVlHaSqOPXsZh5lVXU56GTr+KpZ
nSo0euQhdB74KHY+Mz2GQzSbZuzJrIBN460zBGTHSHEoI0JkKwPCyOOyoNBhyKkHVzytzT5D3oPb
nETehzNNEG4HL2LgnTHNRTNizmIir7fQZ6JTh7rnY81nSw+XuSq8FWIUkWR2fY/No9J1C/jShKAl
1vs+CJLzYsjWWUeqU+GI8X0S4oRuSIU4WNvKL5PGq2AqNiH3PRzWZugVHy0HaWxMYX7I6+GBqRvI
bz7IZGkDe2zIDgBBxOYhus6VzrzssgHwQWVw+CkfakwXRGLq2y5uFSQdfYMaHMWfqchmaTDLW4mi
LNajY3XzsjfieaJqqBz7UMz10os3saPsYDiY7DBJfzAN0Vy7okI8WHnxmedoxa6CWUMv7Dunnla4
N3rXEon6XwIvHoK7kun4Y/21GO1/tmJtsqj69rG4+By5DWj956Nx+uHnoxGCIiEEAJSWjgug8cXR
aIkjjkR0zthBWvSfE6nx9WgUR3yHhQCvERs9kl7+OBqhQprQFh1DGJjeIWn7nqPRAdP88mScDNw0
ZgBY9YF6QpbkF33ZmualUnR6qupYlgePjWWeWKWxzk3nKnTZrgTstnhAedaiTg88ScKp+RHO+BoO
lN81GDko3h5ZLlC5ucbHeKUSdRgeY9K+q0ne7q0Y8nF7IO/kfSG1dTT1gKOxhiYI/WKe+e4Snt5e
LedmY6+g5C1DPOjjsNzoRbyNTO3cLI0TmHvrrtDPdVfFBXM2hRr0nr8acgcn3OLSVvLLsSdGg+NW
9+kwEjGL69sxvhw8/GiScW30DKn17mDl9hZxwLGa6yepzkxcwymxTs9YXsucojue6Bckc0JkvhqJ
pkEdrl/BLtuUXcgwXsdg2XcSxrjlZnRRMYE9nteetdHyivQvo52oAFfCLq9DnVsGj4a0O3NbKNES
GPNOqdHFoXzT2YG+ePL+AmD42uP8+UO0BDIrHiaemq/g5AEXs8oXik7IRsF8EWgOJ1PIQKdM60+t
kimc72OCMFpLhflHyyfz9y/giej6B8DBkw1pQFimMLF7nNyzvnIkQm5CWSCJHadgH/M8OLabctUL
iPztYBjYOMhT3YWa2bjjWViM79s00I4NXAa2iYkUz5o9DFpdrkaTFgtlcrCyVDdZutl4DC120xST
+skG9RQI8JOxYpM04mSxTjto6/hREC3TxcsOY3Vi3UyOHNeAkKLti54QAJ+iagmD727o3GHW9eN5
A9VjrJAZsfY+aIXcY8RxsMNmnxZ+scsY+u6/fyP9Z7vkN//VLyvsnVIwvr1Nzn1UvYF3U75hej+P
a6affNkjzSMynZHUku0OsGpOhjUv9G7zCP8aOaUxwfrWJg73yxapsUUSEMs+SGU/GeDw0L9Ma/gW
dG8aDhMpO4IdPDq/o3tQp+bgy4dboI2YWn2HVyF0gnzebpGNb1qJSKaioCuLdwm+n9cFRL6DLWkr
IAGW/cdaEbdupJYPSCTST11TDQTb+n6z1Ksug6aTlUsLydF1qbbZrk1yb6HaQXxvxF7z4fsftass
4X9/exp/8zn7rz6zX2abf+mq9NlfaPruE5p6lS2/9mX6R//o9eP+6wv9M5smiRf118/204t6Mon6
u2vEN3hJNfcPExR8xHBPk4Qu0eZOX7//hhjMe/m2xViRI1faAFFPXzzerKUv7tG37sLfv8E/O1j9
+Tp/9waewYPt/b9+V9Fks7DeLPDvvQmqONJR4IN7c6Uv3715pAvgSp0l+vRFbfLf8u7v4PrWk++X
R6rOm1pukoP+k/f+1RW+eABQmhhk/slpD5u+eI9f3gJnKuYgeYNNPH09D75/qQdAtTW0If/wRtzc
JyDUdJFlcFfzVj+vBNU6wlJsAnPYXt/eAfGUGoVJw9MX3/5veQi+euV/LAFiVDRCAf/Zg/DVVb54
/8b0SUvNoZh//np7G/QjgW2Lg0Hu83d/uZ1gug1Se16iHBIvHnrfuxdICccCZ09i2d6+f/UI9TV8
De7B6+35tR4DiHTq8+r88XevQktRhS4pIp6XO6XEl2vBPFKhpuCLPoGifD0vul9oN6BFlF8buXzv
I6A6R5ByMC2cCqrp6883QWC3LV/2gwkV/rWeBA1zvOdd6sefBAoDdJI08OrzPfjqJqB3BDPn5LB/
1ScBKab6/Mn8xE2Yyh8dq8opg+SLdWBbRw4WxCg9n5fBr/cIvDQwP3soSPsIi0w8MonmfPr6ailY
R9xkEoYZhDx9PS+9X2g/YKt62aR+/CnQNJ51CHkUwi8f95uHwcKmCWiBO/TL3gSgM1vqUxLDP6kV
v1kiSO0I/OQpsPT5RrytlGyD+6SrWL6+VBDPdfmv9DQA/fzsktDU540R3PMbS4IpoyRrlGpy+vr1
lsTL0/CzJwQgBp81gnrzpSJ6+zRYztGUSIbX2Mui+Y5j8h88Mp+77LkPDvHUhAcP1Rf2yP/hP3jt
UP98gZfO86m9pMF68w8nj4HnSz8X4NOf/9+bFfPUHX/xzddu+en3vPz4yxv8869+87te39XrX26C
h/KmvPMxZ5u8oF9e5mSz96/f/z2998ub387Km/uHyn/TI8IHfv3z9Ov/9fubl/vFnvC316+qm+T1
MtOdmTwFXv/845edBf5N+XqZ6bL0H5Twf9y+H3u1m5tyuElvXi/09ElqxFq+/sWPv+BNkNzcwTf4
yzv9vL387Ivf3SRJ89v/uUnyf/ttf1P5SfDmDr0caT/7W/Y3ZQqKFb29Sc89xE9fm+c0/urCTzDN
z174+IYwyZv77uEhf/0onz7byT7j9S9+/LM93Nz7w1+voYmI//O/4PQ+4OW/XudpFU2ZIa9/8eOv
/Ky5b+78h7IcXq/1dHFTmyYxP3vTz5o0vLl9vc7zhem1X//ix1/1xU14gzTv5g2k9YJq/uyLvgzI
PnizYWnCnqIvfvbCVzdJEP92cnPfvF5ruiMUPSYH3M9e/F1d35R/tbW8tHQ/e/0PD1X92+whxcz0
9cU+vfrnXulnr364YTNnw6rf5gK89OQ/e/V1E3J1MLvnC02v+zPk89PXzt6sys+I2s9el1P58xj+
JLjLbvl0t9VkJFu9fR8qI/b/hBX172WTfvt4QsKpMq9//c0/vnAPwZiVb8uB/y+g0aCdSVSoYUPw
3iyB+/4KeNcGXzPGJTEF2EoChj8wBwMn/RQ8EstSczJhIQJKU2CPGJtTITIInBlMoU/wbzKj1HAC
ayopNN4lNScDPdCB6zxNgH0zSnMcMcteKHQ9wSljis3PSCwpySzGmJSGdtyoUImB6xng6WbAjAAL
cnDaR3QNKY0HL2BVgNN8KvRHQlKBpWg6ehvfDD4XRKn7iT39jcK4xl4eKQDrDQWcKRmymsUCuKEU
ODQJHKMFLt6CRSKuIh1bfxM+jYvZC4VNz2LThtrFBqlIzklNLLIDAAAA//8=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14/relationships/chartEx" Target="../charts/chartEx2.xml"/><Relationship Id="rId18" Type="http://schemas.openxmlformats.org/officeDocument/2006/relationships/image" Target="../media/image10.png"/><Relationship Id="rId3" Type="http://schemas.openxmlformats.org/officeDocument/2006/relationships/image" Target="../media/image2.svg"/><Relationship Id="rId21" Type="http://schemas.openxmlformats.org/officeDocument/2006/relationships/image" Target="../media/image13.png"/><Relationship Id="rId7" Type="http://schemas.openxmlformats.org/officeDocument/2006/relationships/hyperlink" Target="#'Calculative Fields'!A1"/><Relationship Id="rId12" Type="http://schemas.microsoft.com/office/2014/relationships/chartEx" Target="../charts/chartEx1.xml"/><Relationship Id="rId17" Type="http://schemas.openxmlformats.org/officeDocument/2006/relationships/image" Target="../media/image9.png"/><Relationship Id="rId25" Type="http://schemas.microsoft.com/office/2007/relationships/hdphoto" Target="../media/hdphoto2.wdp"/><Relationship Id="rId2" Type="http://schemas.openxmlformats.org/officeDocument/2006/relationships/image" Target="../media/image1.png"/><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hyperlink" Target="#salse_dataset!A1"/><Relationship Id="rId6" Type="http://schemas.openxmlformats.org/officeDocument/2006/relationships/image" Target="../media/image4.svg"/><Relationship Id="rId11" Type="http://schemas.microsoft.com/office/2007/relationships/hdphoto" Target="../media/hdphoto1.wdp"/><Relationship Id="rId24" Type="http://schemas.openxmlformats.org/officeDocument/2006/relationships/image" Target="../media/image16.png"/><Relationship Id="rId5" Type="http://schemas.openxmlformats.org/officeDocument/2006/relationships/image" Target="../media/image3.png"/><Relationship Id="rId15" Type="http://schemas.openxmlformats.org/officeDocument/2006/relationships/chart" Target="../charts/chart2.xml"/><Relationship Id="rId23" Type="http://schemas.openxmlformats.org/officeDocument/2006/relationships/image" Target="../media/image15.png"/><Relationship Id="rId10" Type="http://schemas.openxmlformats.org/officeDocument/2006/relationships/image" Target="../media/image7.png"/><Relationship Id="rId19" Type="http://schemas.openxmlformats.org/officeDocument/2006/relationships/image" Target="../media/image11.png"/><Relationship Id="rId4" Type="http://schemas.openxmlformats.org/officeDocument/2006/relationships/hyperlink" Target="#Dashboard!A1"/><Relationship Id="rId9" Type="http://schemas.openxmlformats.org/officeDocument/2006/relationships/image" Target="../media/image6.svg"/><Relationship Id="rId14" Type="http://schemas.openxmlformats.org/officeDocument/2006/relationships/chart" Target="../charts/chart1.xml"/><Relationship Id="rId22"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Calculative Fields'!A1"/><Relationship Id="rId2" Type="http://schemas.openxmlformats.org/officeDocument/2006/relationships/image" Target="../media/image1.png"/><Relationship Id="rId1" Type="http://schemas.openxmlformats.org/officeDocument/2006/relationships/hyperlink" Target="#sales_dataset!A1"/><Relationship Id="rId6" Type="http://schemas.openxmlformats.org/officeDocument/2006/relationships/image" Target="../media/image4.svg"/><Relationship Id="rId11" Type="http://schemas.microsoft.com/office/2007/relationships/hdphoto" Target="../media/hdphoto1.wdp"/><Relationship Id="rId5" Type="http://schemas.openxmlformats.org/officeDocument/2006/relationships/image" Target="../media/image3.png"/><Relationship Id="rId10" Type="http://schemas.openxmlformats.org/officeDocument/2006/relationships/image" Target="../media/image17.png"/><Relationship Id="rId4" Type="http://schemas.openxmlformats.org/officeDocument/2006/relationships/hyperlink" Target="#Dashboard!A1"/><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Calculative Fields'!A1"/><Relationship Id="rId2" Type="http://schemas.openxmlformats.org/officeDocument/2006/relationships/image" Target="../media/image1.png"/><Relationship Id="rId1" Type="http://schemas.openxmlformats.org/officeDocument/2006/relationships/hyperlink" Target="#salse_dataset!A1"/><Relationship Id="rId6" Type="http://schemas.openxmlformats.org/officeDocument/2006/relationships/image" Target="../media/image4.svg"/><Relationship Id="rId11" Type="http://schemas.microsoft.com/office/2007/relationships/hdphoto" Target="../media/hdphoto1.wdp"/><Relationship Id="rId5" Type="http://schemas.openxmlformats.org/officeDocument/2006/relationships/image" Target="../media/image3.png"/><Relationship Id="rId10" Type="http://schemas.openxmlformats.org/officeDocument/2006/relationships/image" Target="../media/image17.png"/><Relationship Id="rId4" Type="http://schemas.openxmlformats.org/officeDocument/2006/relationships/hyperlink" Target="#Dashboard!A1"/><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0</xdr:col>
      <xdr:colOff>220376</xdr:colOff>
      <xdr:row>19</xdr:row>
      <xdr:rowOff>7428</xdr:rowOff>
    </xdr:from>
    <xdr:to>
      <xdr:col>0</xdr:col>
      <xdr:colOff>859937</xdr:colOff>
      <xdr:row>22</xdr:row>
      <xdr:rowOff>98349</xdr:rowOff>
    </xdr:to>
    <xdr:pic>
      <xdr:nvPicPr>
        <xdr:cNvPr id="2" name="Graphic 1" descr="Database with solid fill">
          <a:hlinkClick xmlns:r="http://schemas.openxmlformats.org/officeDocument/2006/relationships" r:id="rId1"/>
          <a:extLst>
            <a:ext uri="{FF2B5EF4-FFF2-40B4-BE49-F238E27FC236}">
              <a16:creationId xmlns:a16="http://schemas.microsoft.com/office/drawing/2014/main" id="{CF62A3A1-4518-4C0F-82B3-B0E0E6B93A1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376" y="3482148"/>
          <a:ext cx="639561" cy="639561"/>
        </a:xfrm>
        <a:prstGeom prst="rect">
          <a:avLst/>
        </a:prstGeom>
      </xdr:spPr>
    </xdr:pic>
    <xdr:clientData/>
  </xdr:twoCellAnchor>
  <xdr:twoCellAnchor editAs="oneCell">
    <xdr:from>
      <xdr:col>0</xdr:col>
      <xdr:colOff>196392</xdr:colOff>
      <xdr:row>7</xdr:row>
      <xdr:rowOff>53190</xdr:rowOff>
    </xdr:from>
    <xdr:to>
      <xdr:col>0</xdr:col>
      <xdr:colOff>883920</xdr:colOff>
      <xdr:row>11</xdr:row>
      <xdr:rowOff>9198</xdr:rowOff>
    </xdr:to>
    <xdr:pic>
      <xdr:nvPicPr>
        <xdr:cNvPr id="3" name="Graphic 2" descr="Pie chart with solid fill">
          <a:hlinkClick xmlns:r="http://schemas.openxmlformats.org/officeDocument/2006/relationships" r:id="rId4"/>
          <a:extLst>
            <a:ext uri="{FF2B5EF4-FFF2-40B4-BE49-F238E27FC236}">
              <a16:creationId xmlns:a16="http://schemas.microsoft.com/office/drawing/2014/main" id="{010FE21A-CF96-4D2C-8AC0-B40154830FE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392" y="1333350"/>
          <a:ext cx="687528" cy="687528"/>
        </a:xfrm>
        <a:prstGeom prst="rect">
          <a:avLst/>
        </a:prstGeom>
      </xdr:spPr>
    </xdr:pic>
    <xdr:clientData/>
  </xdr:twoCellAnchor>
  <xdr:twoCellAnchor editAs="oneCell">
    <xdr:from>
      <xdr:col>0</xdr:col>
      <xdr:colOff>220376</xdr:colOff>
      <xdr:row>13</xdr:row>
      <xdr:rowOff>54293</xdr:rowOff>
    </xdr:from>
    <xdr:to>
      <xdr:col>0</xdr:col>
      <xdr:colOff>859937</xdr:colOff>
      <xdr:row>16</xdr:row>
      <xdr:rowOff>145214</xdr:rowOff>
    </xdr:to>
    <xdr:pic>
      <xdr:nvPicPr>
        <xdr:cNvPr id="4" name="Graphic 3" descr="Mathematics with solid fill">
          <a:hlinkClick xmlns:r="http://schemas.openxmlformats.org/officeDocument/2006/relationships" r:id="rId7"/>
          <a:extLst>
            <a:ext uri="{FF2B5EF4-FFF2-40B4-BE49-F238E27FC236}">
              <a16:creationId xmlns:a16="http://schemas.microsoft.com/office/drawing/2014/main" id="{7128C232-E92A-45EC-9E80-A42EF59310B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376" y="2431733"/>
          <a:ext cx="639561" cy="639561"/>
        </a:xfrm>
        <a:prstGeom prst="rect">
          <a:avLst/>
        </a:prstGeom>
      </xdr:spPr>
    </xdr:pic>
    <xdr:clientData/>
  </xdr:twoCellAnchor>
  <xdr:twoCellAnchor>
    <xdr:from>
      <xdr:col>2</xdr:col>
      <xdr:colOff>99060</xdr:colOff>
      <xdr:row>0</xdr:row>
      <xdr:rowOff>161019</xdr:rowOff>
    </xdr:from>
    <xdr:to>
      <xdr:col>12</xdr:col>
      <xdr:colOff>83820</xdr:colOff>
      <xdr:row>4</xdr:row>
      <xdr:rowOff>54480</xdr:rowOff>
    </xdr:to>
    <xdr:sp macro="" textlink="">
      <xdr:nvSpPr>
        <xdr:cNvPr id="5" name="Rectangle: Rounded Corners 4">
          <a:extLst>
            <a:ext uri="{FF2B5EF4-FFF2-40B4-BE49-F238E27FC236}">
              <a16:creationId xmlns:a16="http://schemas.microsoft.com/office/drawing/2014/main" id="{DFA1D1F8-3043-B117-5820-03F18C08D469}"/>
            </a:ext>
          </a:extLst>
        </xdr:cNvPr>
        <xdr:cNvSpPr/>
      </xdr:nvSpPr>
      <xdr:spPr>
        <a:xfrm>
          <a:off x="1272540" y="161019"/>
          <a:ext cx="6080760" cy="6249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2</xdr:col>
      <xdr:colOff>30480</xdr:colOff>
      <xdr:row>5</xdr:row>
      <xdr:rowOff>69214</xdr:rowOff>
    </xdr:from>
    <xdr:to>
      <xdr:col>4</xdr:col>
      <xdr:colOff>290880</xdr:colOff>
      <xdr:row>9</xdr:row>
      <xdr:rowOff>36455</xdr:rowOff>
    </xdr:to>
    <xdr:sp macro="" textlink="">
      <xdr:nvSpPr>
        <xdr:cNvPr id="6" name="Rectangle: Rounded Corners 5">
          <a:extLst>
            <a:ext uri="{FF2B5EF4-FFF2-40B4-BE49-F238E27FC236}">
              <a16:creationId xmlns:a16="http://schemas.microsoft.com/office/drawing/2014/main" id="{7BCB6E4F-6506-BFBE-5C83-A002BCB0AEE9}"/>
            </a:ext>
          </a:extLst>
        </xdr:cNvPr>
        <xdr:cNvSpPr/>
      </xdr:nvSpPr>
      <xdr:spPr>
        <a:xfrm>
          <a:off x="1203960" y="983614"/>
          <a:ext cx="1479600" cy="69876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26355</xdr:colOff>
      <xdr:row>10</xdr:row>
      <xdr:rowOff>119572</xdr:rowOff>
    </xdr:from>
    <xdr:to>
      <xdr:col>7</xdr:col>
      <xdr:colOff>297181</xdr:colOff>
      <xdr:row>28</xdr:row>
      <xdr:rowOff>152400</xdr:rowOff>
    </xdr:to>
    <xdr:sp macro="" textlink="">
      <xdr:nvSpPr>
        <xdr:cNvPr id="10" name="Rectangle: Rounded Corners 9">
          <a:extLst>
            <a:ext uri="{FF2B5EF4-FFF2-40B4-BE49-F238E27FC236}">
              <a16:creationId xmlns:a16="http://schemas.microsoft.com/office/drawing/2014/main" id="{B26B40D6-F49C-0E17-7EF9-35E724428AB4}"/>
            </a:ext>
          </a:extLst>
        </xdr:cNvPr>
        <xdr:cNvSpPr/>
      </xdr:nvSpPr>
      <xdr:spPr>
        <a:xfrm>
          <a:off x="1055055" y="1948372"/>
          <a:ext cx="3463606" cy="3324668"/>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434420</xdr:colOff>
      <xdr:row>10</xdr:row>
      <xdr:rowOff>150053</xdr:rowOff>
    </xdr:from>
    <xdr:to>
      <xdr:col>12</xdr:col>
      <xdr:colOff>384570</xdr:colOff>
      <xdr:row>28</xdr:row>
      <xdr:rowOff>137160</xdr:rowOff>
    </xdr:to>
    <xdr:sp macro="" textlink="">
      <xdr:nvSpPr>
        <xdr:cNvPr id="11" name="Rectangle: Rounded Corners 10">
          <a:extLst>
            <a:ext uri="{FF2B5EF4-FFF2-40B4-BE49-F238E27FC236}">
              <a16:creationId xmlns:a16="http://schemas.microsoft.com/office/drawing/2014/main" id="{5E866F28-0ABB-A0DE-0354-A62C731A1062}"/>
            </a:ext>
          </a:extLst>
        </xdr:cNvPr>
        <xdr:cNvSpPr/>
      </xdr:nvSpPr>
      <xdr:spPr>
        <a:xfrm>
          <a:off x="4655900" y="1978853"/>
          <a:ext cx="2998150" cy="3278947"/>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370332</xdr:colOff>
      <xdr:row>1</xdr:row>
      <xdr:rowOff>0</xdr:rowOff>
    </xdr:from>
    <xdr:to>
      <xdr:col>20</xdr:col>
      <xdr:colOff>163809</xdr:colOff>
      <xdr:row>13</xdr:row>
      <xdr:rowOff>144780</xdr:rowOff>
    </xdr:to>
    <xdr:sp macro="" textlink="">
      <xdr:nvSpPr>
        <xdr:cNvPr id="13" name="Rectangle: Rounded Corners 12">
          <a:extLst>
            <a:ext uri="{FF2B5EF4-FFF2-40B4-BE49-F238E27FC236}">
              <a16:creationId xmlns:a16="http://schemas.microsoft.com/office/drawing/2014/main" id="{EB860D75-EADB-E3C1-558F-8449FAF495B1}"/>
            </a:ext>
          </a:extLst>
        </xdr:cNvPr>
        <xdr:cNvSpPr/>
      </xdr:nvSpPr>
      <xdr:spPr>
        <a:xfrm>
          <a:off x="7639812" y="182880"/>
          <a:ext cx="4670277" cy="2339340"/>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467253</xdr:colOff>
      <xdr:row>14</xdr:row>
      <xdr:rowOff>168636</xdr:rowOff>
    </xdr:from>
    <xdr:to>
      <xdr:col>20</xdr:col>
      <xdr:colOff>167224</xdr:colOff>
      <xdr:row>28</xdr:row>
      <xdr:rowOff>76200</xdr:rowOff>
    </xdr:to>
    <xdr:sp macro="" textlink="">
      <xdr:nvSpPr>
        <xdr:cNvPr id="14" name="Rectangle: Rounded Corners 13">
          <a:extLst>
            <a:ext uri="{FF2B5EF4-FFF2-40B4-BE49-F238E27FC236}">
              <a16:creationId xmlns:a16="http://schemas.microsoft.com/office/drawing/2014/main" id="{ACE28E1B-8673-45E7-33B0-212B95D9EAAE}"/>
            </a:ext>
          </a:extLst>
        </xdr:cNvPr>
        <xdr:cNvSpPr/>
      </xdr:nvSpPr>
      <xdr:spPr>
        <a:xfrm>
          <a:off x="7736733" y="2728956"/>
          <a:ext cx="4576771" cy="246788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342900</xdr:colOff>
      <xdr:row>0</xdr:row>
      <xdr:rowOff>152400</xdr:rowOff>
    </xdr:from>
    <xdr:to>
      <xdr:col>11</xdr:col>
      <xdr:colOff>434340</xdr:colOff>
      <xdr:row>4</xdr:row>
      <xdr:rowOff>83820</xdr:rowOff>
    </xdr:to>
    <xdr:sp macro="" textlink="">
      <xdr:nvSpPr>
        <xdr:cNvPr id="15" name="TextBox 14">
          <a:extLst>
            <a:ext uri="{FF2B5EF4-FFF2-40B4-BE49-F238E27FC236}">
              <a16:creationId xmlns:a16="http://schemas.microsoft.com/office/drawing/2014/main" id="{03B6759E-BD4D-7619-3C17-13F294143876}"/>
            </a:ext>
          </a:extLst>
        </xdr:cNvPr>
        <xdr:cNvSpPr txBox="1"/>
      </xdr:nvSpPr>
      <xdr:spPr>
        <a:xfrm>
          <a:off x="2125980" y="152400"/>
          <a:ext cx="496824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a:solidFill>
                <a:schemeClr val="accent1"/>
              </a:solidFill>
            </a:rPr>
            <a:t>NESTLE</a:t>
          </a:r>
          <a:r>
            <a:rPr lang="en-IN" sz="1800" b="1" i="0" baseline="0">
              <a:solidFill>
                <a:schemeClr val="accent1"/>
              </a:solidFill>
            </a:rPr>
            <a:t> INDIA REGIONAL </a:t>
          </a:r>
          <a:r>
            <a:rPr lang="en-IN" sz="1800" b="1" i="0">
              <a:solidFill>
                <a:schemeClr val="accent1"/>
              </a:solidFill>
            </a:rPr>
            <a:t>SALES</a:t>
          </a:r>
          <a:r>
            <a:rPr lang="en-IN" sz="1800" b="1" i="0" baseline="0">
              <a:solidFill>
                <a:schemeClr val="accent1"/>
              </a:solidFill>
            </a:rPr>
            <a:t> DASHBOARD</a:t>
          </a:r>
        </a:p>
        <a:p>
          <a:r>
            <a:rPr lang="en-IN" sz="1400" b="0" i="1">
              <a:solidFill>
                <a:schemeClr val="tx2">
                  <a:lumMod val="90000"/>
                  <a:lumOff val="10000"/>
                </a:schemeClr>
              </a:solidFill>
            </a:rPr>
            <a:t> 2024-2025</a:t>
          </a:r>
        </a:p>
      </xdr:txBody>
    </xdr:sp>
    <xdr:clientData/>
  </xdr:twoCellAnchor>
  <xdr:twoCellAnchor editAs="oneCell">
    <xdr:from>
      <xdr:col>0</xdr:col>
      <xdr:colOff>124543</xdr:colOff>
      <xdr:row>1</xdr:row>
      <xdr:rowOff>99060</xdr:rowOff>
    </xdr:from>
    <xdr:to>
      <xdr:col>0</xdr:col>
      <xdr:colOff>919398</xdr:colOff>
      <xdr:row>5</xdr:row>
      <xdr:rowOff>45720</xdr:rowOff>
    </xdr:to>
    <xdr:pic>
      <xdr:nvPicPr>
        <xdr:cNvPr id="17" name="Picture 16">
          <a:extLst>
            <a:ext uri="{FF2B5EF4-FFF2-40B4-BE49-F238E27FC236}">
              <a16:creationId xmlns:a16="http://schemas.microsoft.com/office/drawing/2014/main" id="{4DA20121-EBE5-FDFF-536B-D8D18AFEC91A}"/>
            </a:ext>
          </a:extLst>
        </xdr:cNvPr>
        <xdr:cNvPicPr>
          <a:picLocks noChangeAspect="1"/>
        </xdr:cNvPicPr>
      </xdr:nvPicPr>
      <xdr:blipFill rotWithShape="1">
        <a:blip xmlns:r="http://schemas.openxmlformats.org/officeDocument/2006/relationships" r:embed="rId10" cstate="print">
          <a:duotone>
            <a:schemeClr val="accent1">
              <a:shade val="45000"/>
              <a:satMod val="135000"/>
            </a:schemeClr>
            <a:prstClr val="white"/>
          </a:duotone>
          <a:extLst>
            <a:ext uri="{BEBA8EAE-BF5A-486C-A8C5-ECC9F3942E4B}">
              <a14:imgProps xmlns:a14="http://schemas.microsoft.com/office/drawing/2010/main">
                <a14:imgLayer r:embed="rId11">
                  <a14:imgEffect>
                    <a14:backgroundRemoval t="16308" b="83077" l="4308" r="93538">
                      <a14:foregroundMark x1="34462" y1="36000" x2="52000" y2="52923"/>
                      <a14:foregroundMark x1="39692" y1="33846" x2="60308" y2="57538"/>
                      <a14:foregroundMark x1="53231" y1="45538" x2="71077" y2="64308"/>
                      <a14:foregroundMark x1="61538" y1="45538" x2="75692" y2="56308"/>
                      <a14:foregroundMark x1="66154" y1="44000" x2="79692" y2="56923"/>
                      <a14:foregroundMark x1="67692" y1="36615" x2="85231" y2="52000"/>
                      <a14:foregroundMark x1="81846" y1="45538" x2="73538" y2="64923"/>
                      <a14:foregroundMark x1="79692" y1="50769" x2="53231" y2="72308"/>
                      <a14:foregroundMark x1="77538" y1="50769" x2="53538" y2="73231"/>
                      <a14:foregroundMark x1="72308" y1="67077" x2="62769" y2="68308"/>
                      <a14:foregroundMark x1="69538" y1="67692" x2="50154" y2="67692"/>
                      <a14:foregroundMark x1="43385" y1="59077" x2="43385" y2="59077"/>
                      <a14:foregroundMark x1="47385" y1="59692" x2="47385" y2="59692"/>
                      <a14:foregroundMark x1="53538" y1="59692" x2="53538" y2="59692"/>
                      <a14:foregroundMark x1="54154" y1="57538" x2="54154" y2="57538"/>
                      <a14:foregroundMark x1="72308" y1="21231" x2="72308" y2="21231"/>
                      <a14:foregroundMark x1="74154" y1="21846" x2="74154" y2="21846"/>
                      <a14:foregroundMark x1="76923" y1="21846" x2="76923" y2="21846"/>
                      <a14:foregroundMark x1="70154" y1="20308" x2="70154" y2="20308"/>
                      <a14:foregroundMark x1="67692" y1="20308" x2="67692" y2="20308"/>
                      <a14:foregroundMark x1="64308" y1="20308" x2="64308" y2="20308"/>
                      <a14:foregroundMark x1="62769" y1="20308" x2="62769" y2="20308"/>
                      <a14:foregroundMark x1="60308" y1="19692" x2="60308" y2="19692"/>
                      <a14:foregroundMark x1="58154" y1="19692" x2="58154" y2="19692"/>
                      <a14:foregroundMark x1="54769" y1="17846" x2="54769" y2="17846"/>
                      <a14:foregroundMark x1="49846" y1="18462" x2="49846" y2="18462"/>
                      <a14:foregroundMark x1="43385" y1="19077" x2="43385" y2="19077"/>
                      <a14:foregroundMark x1="37231" y1="21846" x2="37231" y2="21846"/>
                      <a14:foregroundMark x1="36615" y1="20308" x2="36615" y2="20308"/>
                      <a14:foregroundMark x1="39077" y1="18462" x2="39077" y2="18462"/>
                      <a14:foregroundMark x1="33231" y1="20308" x2="33231" y2="20308"/>
                      <a14:foregroundMark x1="29231" y1="20308" x2="29231" y2="20308"/>
                      <a14:foregroundMark x1="23692" y1="21846" x2="23692" y2="21846"/>
                      <a14:foregroundMark x1="17538" y1="24615" x2="17538" y2="24615"/>
                      <a14:foregroundMark x1="12308" y1="27077" x2="12308" y2="27077"/>
                      <a14:foregroundMark x1="8615" y1="30462" x2="8615" y2="30462"/>
                      <a14:foregroundMark x1="8615" y1="34462" x2="8615" y2="34462"/>
                      <a14:foregroundMark x1="4615" y1="40615" x2="4615" y2="40615"/>
                      <a14:foregroundMark x1="6154" y1="39385" x2="6154" y2="39385"/>
                      <a14:foregroundMark x1="6769" y1="42769" x2="6769" y2="42769"/>
                      <a14:foregroundMark x1="5538" y1="48923" x2="5538" y2="48923"/>
                      <a14:foregroundMark x1="6154" y1="52308" x2="6154" y2="52308"/>
                      <a14:foregroundMark x1="5231" y1="48615" x2="5231" y2="48615"/>
                      <a14:foregroundMark x1="7385" y1="50769" x2="8000" y2="52308"/>
                      <a14:foregroundMark x1="49231" y1="17538" x2="49231" y2="17538"/>
                      <a14:foregroundMark x1="50769" y1="16923" x2="50769" y2="16923"/>
                      <a14:foregroundMark x1="50769" y1="16308" x2="50769" y2="16308"/>
                      <a14:foregroundMark x1="70154" y1="17538" x2="70154" y2="17538"/>
                      <a14:foregroundMark x1="75692" y1="20923" x2="75692" y2="20923"/>
                      <a14:foregroundMark x1="81231" y1="24308" x2="81231" y2="24308"/>
                      <a14:foregroundMark x1="85846" y1="28615" x2="85846" y2="28615"/>
                      <a14:foregroundMark x1="84308" y1="25231" x2="84308" y2="25231"/>
                      <a14:foregroundMark x1="88615" y1="29231" x2="88615" y2="29231"/>
                      <a14:foregroundMark x1="91077" y1="36000" x2="91077" y2="36000"/>
                      <a14:foregroundMark x1="93846" y1="40000" x2="93846" y2="40000"/>
                      <a14:foregroundMark x1="92615" y1="46769" x2="92615" y2="46769"/>
                      <a14:foregroundMark x1="91385" y1="53538" x2="89846" y2="53538"/>
                      <a14:foregroundMark x1="92000" y1="55692" x2="92000" y2="55692"/>
                      <a14:foregroundMark x1="91077" y1="61538" x2="91077" y2="61538"/>
                      <a14:foregroundMark x1="87077" y1="64923" x2="87077" y2="64923"/>
                      <a14:foregroundMark x1="82462" y1="71077" x2="84308" y2="71077"/>
                      <a14:foregroundMark x1="78462" y1="75692" x2="78462" y2="75692"/>
                      <a14:foregroundMark x1="75692" y1="76308" x2="75692" y2="76308"/>
                      <a14:foregroundMark x1="68308" y1="79692" x2="68308" y2="79692"/>
                      <a14:foregroundMark x1="62769" y1="81231" x2="62769" y2="81231"/>
                      <a14:foregroundMark x1="56923" y1="81231" x2="59385" y2="81231"/>
                      <a14:foregroundMark x1="51385" y1="81231" x2="51385" y2="81231"/>
                      <a14:foregroundMark x1="48615" y1="81231" x2="48615" y2="81231"/>
                      <a14:foregroundMark x1="45231" y1="83077" x2="45231" y2="83077"/>
                      <a14:foregroundMark x1="37231" y1="82462" x2="37231" y2="82462"/>
                      <a14:foregroundMark x1="41846" y1="80615" x2="41846" y2="80615"/>
                      <a14:foregroundMark x1="36308" y1="79692" x2="36308" y2="79692"/>
                      <a14:foregroundMark x1="31692" y1="79692" x2="31692" y2="79692"/>
                      <a14:foregroundMark x1="25846" y1="78462" x2="28923" y2="77846"/>
                      <a14:foregroundMark x1="22154" y1="75692" x2="22154" y2="75692"/>
                      <a14:foregroundMark x1="18154" y1="73231" x2="18154" y2="73231"/>
                      <a14:foregroundMark x1="15385" y1="68923" x2="15385" y2="68923"/>
                      <a14:foregroundMark x1="12308" y1="65538" x2="12308" y2="65538"/>
                      <a14:foregroundMark x1="31077" y1="47385" x2="31077" y2="47385"/>
                      <a14:foregroundMark x1="37231" y1="41846" x2="44615" y2="78769"/>
                      <a14:foregroundMark x1="44615" y1="78769" x2="15385" y2="50154"/>
                      <a14:foregroundMark x1="15385" y1="50154" x2="51385" y2="67692"/>
                      <a14:foregroundMark x1="51385" y1="67692" x2="50769" y2="71692"/>
                      <a14:foregroundMark x1="15692" y1="48923" x2="32615" y2="51385"/>
                      <a14:foregroundMark x1="21538" y1="31385" x2="21538" y2="31385"/>
                      <a14:foregroundMark x1="26462" y1="35077" x2="26462" y2="35077"/>
                      <a14:foregroundMark x1="31692" y1="30462" x2="31692" y2="30462"/>
                      <a14:foregroundMark x1="33846" y1="31385" x2="33846" y2="31385"/>
                      <a14:foregroundMark x1="43077" y1="32000" x2="43077" y2="32000"/>
                      <a14:foregroundMark x1="42462" y1="33231" x2="42462" y2="33231"/>
                      <a14:foregroundMark x1="51385" y1="32000" x2="51385" y2="32000"/>
                      <a14:foregroundMark x1="51385" y1="30462" x2="51385" y2="30462"/>
                      <a14:foregroundMark x1="56000" y1="31077" x2="56000" y2="31077"/>
                      <a14:foregroundMark x1="64923" y1="31077" x2="64923" y2="31077"/>
                      <a14:foregroundMark x1="65538" y1="29231" x2="65538" y2="29231"/>
                      <a14:foregroundMark x1="72923" y1="32000" x2="72923" y2="32000"/>
                      <a14:foregroundMark x1="34462" y1="81846" x2="34462" y2="81846"/>
                      <a14:foregroundMark x1="49231" y1="16308" x2="49231" y2="16308"/>
                      <a14:foregroundMark x1="52615" y1="16923" x2="52615" y2="16923"/>
                      <a14:foregroundMark x1="51385" y1="17538" x2="51385" y2="17538"/>
                    </a14:backgroundRemoval>
                  </a14:imgEffect>
                  <a14:imgEffect>
                    <a14:saturation sat="66000"/>
                  </a14:imgEffect>
                </a14:imgLayer>
              </a14:imgProps>
            </a:ext>
            <a:ext uri="{28A0092B-C50C-407E-A947-70E740481C1C}">
              <a14:useLocalDpi xmlns:a14="http://schemas.microsoft.com/office/drawing/2010/main" val="0"/>
            </a:ext>
          </a:extLst>
        </a:blip>
        <a:srcRect t="16282" r="3390" b="11401"/>
        <a:stretch>
          <a:fillRect/>
        </a:stretch>
      </xdr:blipFill>
      <xdr:spPr>
        <a:xfrm>
          <a:off x="124543" y="281940"/>
          <a:ext cx="794855" cy="678180"/>
        </a:xfrm>
        <a:prstGeom prst="rect">
          <a:avLst/>
        </a:prstGeom>
        <a:ln>
          <a:noFill/>
        </a:ln>
      </xdr:spPr>
    </xdr:pic>
    <xdr:clientData/>
  </xdr:twoCellAnchor>
  <xdr:twoCellAnchor>
    <xdr:from>
      <xdr:col>2</xdr:col>
      <xdr:colOff>441960</xdr:colOff>
      <xdr:row>5</xdr:row>
      <xdr:rowOff>76834</xdr:rowOff>
    </xdr:from>
    <xdr:to>
      <xdr:col>3</xdr:col>
      <xdr:colOff>487680</xdr:colOff>
      <xdr:row>6</xdr:row>
      <xdr:rowOff>165995</xdr:rowOff>
    </xdr:to>
    <xdr:sp macro="" textlink="">
      <xdr:nvSpPr>
        <xdr:cNvPr id="20" name="TextBox 19">
          <a:extLst>
            <a:ext uri="{FF2B5EF4-FFF2-40B4-BE49-F238E27FC236}">
              <a16:creationId xmlns:a16="http://schemas.microsoft.com/office/drawing/2014/main" id="{3A29476B-C59A-F8F3-0E61-6399758E71EC}"/>
            </a:ext>
          </a:extLst>
        </xdr:cNvPr>
        <xdr:cNvSpPr txBox="1"/>
      </xdr:nvSpPr>
      <xdr:spPr>
        <a:xfrm>
          <a:off x="1615440" y="991234"/>
          <a:ext cx="655320" cy="272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Sales</a:t>
          </a:r>
        </a:p>
        <a:p>
          <a:endParaRPr lang="en-IN" sz="1400"/>
        </a:p>
      </xdr:txBody>
    </xdr:sp>
    <xdr:clientData/>
  </xdr:twoCellAnchor>
  <xdr:twoCellAnchor>
    <xdr:from>
      <xdr:col>4</xdr:col>
      <xdr:colOff>414460</xdr:colOff>
      <xdr:row>5</xdr:row>
      <xdr:rowOff>69214</xdr:rowOff>
    </xdr:from>
    <xdr:to>
      <xdr:col>7</xdr:col>
      <xdr:colOff>65260</xdr:colOff>
      <xdr:row>9</xdr:row>
      <xdr:rowOff>36455</xdr:rowOff>
    </xdr:to>
    <xdr:sp macro="" textlink="">
      <xdr:nvSpPr>
        <xdr:cNvPr id="35" name="Rectangle: Rounded Corners 34">
          <a:extLst>
            <a:ext uri="{FF2B5EF4-FFF2-40B4-BE49-F238E27FC236}">
              <a16:creationId xmlns:a16="http://schemas.microsoft.com/office/drawing/2014/main" id="{36E714B4-1E6E-F833-7F71-07BC7CC89242}"/>
            </a:ext>
          </a:extLst>
        </xdr:cNvPr>
        <xdr:cNvSpPr/>
      </xdr:nvSpPr>
      <xdr:spPr>
        <a:xfrm>
          <a:off x="2807140" y="983614"/>
          <a:ext cx="1479600" cy="69876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228600</xdr:colOff>
      <xdr:row>5</xdr:row>
      <xdr:rowOff>76834</xdr:rowOff>
    </xdr:from>
    <xdr:to>
      <xdr:col>6</xdr:col>
      <xdr:colOff>274320</xdr:colOff>
      <xdr:row>6</xdr:row>
      <xdr:rowOff>165995</xdr:rowOff>
    </xdr:to>
    <xdr:sp macro="" textlink="">
      <xdr:nvSpPr>
        <xdr:cNvPr id="36" name="TextBox 35">
          <a:extLst>
            <a:ext uri="{FF2B5EF4-FFF2-40B4-BE49-F238E27FC236}">
              <a16:creationId xmlns:a16="http://schemas.microsoft.com/office/drawing/2014/main" id="{F97AF96F-B8A0-8362-01FF-CC50F63DEFA6}"/>
            </a:ext>
          </a:extLst>
        </xdr:cNvPr>
        <xdr:cNvSpPr txBox="1"/>
      </xdr:nvSpPr>
      <xdr:spPr>
        <a:xfrm>
          <a:off x="3230880" y="991234"/>
          <a:ext cx="655320" cy="272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Profit</a:t>
          </a:r>
        </a:p>
        <a:p>
          <a:endParaRPr lang="en-IN" sz="1400" b="1"/>
        </a:p>
        <a:p>
          <a:endParaRPr lang="en-IN" sz="1400"/>
        </a:p>
      </xdr:txBody>
    </xdr:sp>
    <xdr:clientData/>
  </xdr:twoCellAnchor>
  <xdr:twoCellAnchor>
    <xdr:from>
      <xdr:col>7</xdr:col>
      <xdr:colOff>188840</xdr:colOff>
      <xdr:row>5</xdr:row>
      <xdr:rowOff>69214</xdr:rowOff>
    </xdr:from>
    <xdr:to>
      <xdr:col>9</xdr:col>
      <xdr:colOff>486020</xdr:colOff>
      <xdr:row>9</xdr:row>
      <xdr:rowOff>36455</xdr:rowOff>
    </xdr:to>
    <xdr:sp macro="" textlink="">
      <xdr:nvSpPr>
        <xdr:cNvPr id="37" name="Rectangle: Rounded Corners 36">
          <a:extLst>
            <a:ext uri="{FF2B5EF4-FFF2-40B4-BE49-F238E27FC236}">
              <a16:creationId xmlns:a16="http://schemas.microsoft.com/office/drawing/2014/main" id="{7F6BA7E7-5D50-5B23-4C6E-F4D6A15A61E8}"/>
            </a:ext>
          </a:extLst>
        </xdr:cNvPr>
        <xdr:cNvSpPr/>
      </xdr:nvSpPr>
      <xdr:spPr>
        <a:xfrm>
          <a:off x="4410320" y="983614"/>
          <a:ext cx="1516380" cy="69876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5</xdr:row>
      <xdr:rowOff>46354</xdr:rowOff>
    </xdr:from>
    <xdr:to>
      <xdr:col>10</xdr:col>
      <xdr:colOff>7620</xdr:colOff>
      <xdr:row>6</xdr:row>
      <xdr:rowOff>114300</xdr:rowOff>
    </xdr:to>
    <xdr:sp macro="" textlink="">
      <xdr:nvSpPr>
        <xdr:cNvPr id="38" name="TextBox 37">
          <a:extLst>
            <a:ext uri="{FF2B5EF4-FFF2-40B4-BE49-F238E27FC236}">
              <a16:creationId xmlns:a16="http://schemas.microsoft.com/office/drawing/2014/main" id="{4BC436C3-579C-013F-6BD8-1C6BB323DC37}"/>
            </a:ext>
          </a:extLst>
        </xdr:cNvPr>
        <xdr:cNvSpPr txBox="1"/>
      </xdr:nvSpPr>
      <xdr:spPr>
        <a:xfrm>
          <a:off x="4587240" y="960754"/>
          <a:ext cx="1470660" cy="250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Avg</a:t>
          </a:r>
          <a:r>
            <a:rPr lang="en-IN" sz="1400" b="1" baseline="0">
              <a:solidFill>
                <a:schemeClr val="accent1"/>
              </a:solidFill>
            </a:rPr>
            <a:t> Selling Price</a:t>
          </a:r>
        </a:p>
        <a:p>
          <a:endParaRPr lang="en-IN" sz="1400" b="1" baseline="0">
            <a:solidFill>
              <a:schemeClr val="accent1"/>
            </a:solidFill>
          </a:endParaRPr>
        </a:p>
        <a:p>
          <a:endParaRPr lang="en-IN" sz="1400" b="1"/>
        </a:p>
        <a:p>
          <a:endParaRPr lang="en-IN" sz="1100"/>
        </a:p>
      </xdr:txBody>
    </xdr:sp>
    <xdr:clientData/>
  </xdr:twoCellAnchor>
  <xdr:twoCellAnchor>
    <xdr:from>
      <xdr:col>2</xdr:col>
      <xdr:colOff>175260</xdr:colOff>
      <xdr:row>6</xdr:row>
      <xdr:rowOff>130174</xdr:rowOff>
    </xdr:from>
    <xdr:to>
      <xdr:col>4</xdr:col>
      <xdr:colOff>53340</xdr:colOff>
      <xdr:row>8</xdr:row>
      <xdr:rowOff>130174</xdr:rowOff>
    </xdr:to>
    <xdr:sp macro="" textlink="Sales">
      <xdr:nvSpPr>
        <xdr:cNvPr id="39" name="TextBox 38">
          <a:extLst>
            <a:ext uri="{FF2B5EF4-FFF2-40B4-BE49-F238E27FC236}">
              <a16:creationId xmlns:a16="http://schemas.microsoft.com/office/drawing/2014/main" id="{3302E8CA-0680-703B-39E7-52645171B159}"/>
            </a:ext>
          </a:extLst>
        </xdr:cNvPr>
        <xdr:cNvSpPr txBox="1"/>
      </xdr:nvSpPr>
      <xdr:spPr>
        <a:xfrm>
          <a:off x="1348740" y="1227454"/>
          <a:ext cx="10972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50B5DF-7524-409A-A68D-EA3EDCCDE16A}" type="TxLink">
            <a:rPr lang="en-US" sz="1800" b="1" i="0" u="none" strike="noStrike">
              <a:solidFill>
                <a:srgbClr val="000000"/>
              </a:solidFill>
              <a:latin typeface="Aptos Narrow"/>
            </a:rPr>
            <a:pPr/>
            <a:t>₹ 10.4 Cr. </a:t>
          </a:fld>
          <a:endParaRPr lang="en-IN" sz="1800" b="1"/>
        </a:p>
      </xdr:txBody>
    </xdr:sp>
    <xdr:clientData/>
  </xdr:twoCellAnchor>
  <xdr:twoCellAnchor>
    <xdr:from>
      <xdr:col>4</xdr:col>
      <xdr:colOff>548640</xdr:colOff>
      <xdr:row>6</xdr:row>
      <xdr:rowOff>130174</xdr:rowOff>
    </xdr:from>
    <xdr:to>
      <xdr:col>6</xdr:col>
      <xdr:colOff>419100</xdr:colOff>
      <xdr:row>8</xdr:row>
      <xdr:rowOff>130174</xdr:rowOff>
    </xdr:to>
    <xdr:sp macro="" textlink="Profit">
      <xdr:nvSpPr>
        <xdr:cNvPr id="40" name="TextBox 39">
          <a:extLst>
            <a:ext uri="{FF2B5EF4-FFF2-40B4-BE49-F238E27FC236}">
              <a16:creationId xmlns:a16="http://schemas.microsoft.com/office/drawing/2014/main" id="{06709771-44FB-4279-4C76-20190F0DDFFB}"/>
            </a:ext>
          </a:extLst>
        </xdr:cNvPr>
        <xdr:cNvSpPr txBox="1"/>
      </xdr:nvSpPr>
      <xdr:spPr>
        <a:xfrm>
          <a:off x="2941320" y="1227454"/>
          <a:ext cx="10896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77C363-B55C-4182-840F-9DA965E38F55}" type="TxLink">
            <a:rPr lang="en-US" sz="1800" b="1" i="0" u="none" strike="noStrike">
              <a:solidFill>
                <a:srgbClr val="000000"/>
              </a:solidFill>
              <a:latin typeface="Aptos Narrow"/>
              <a:ea typeface="+mn-ea"/>
              <a:cs typeface="+mn-cs"/>
            </a:rPr>
            <a:pPr marL="0" indent="0"/>
            <a:t>₹ 20.09 L. </a:t>
          </a:fld>
          <a:endParaRPr lang="en-IN" sz="1800" b="1" i="0" u="none" strike="noStrike">
            <a:solidFill>
              <a:srgbClr val="000000"/>
            </a:solidFill>
            <a:latin typeface="Aptos Narrow"/>
            <a:ea typeface="+mn-ea"/>
            <a:cs typeface="+mn-cs"/>
          </a:endParaRPr>
        </a:p>
      </xdr:txBody>
    </xdr:sp>
    <xdr:clientData/>
  </xdr:twoCellAnchor>
  <xdr:twoCellAnchor>
    <xdr:from>
      <xdr:col>7</xdr:col>
      <xdr:colOff>525780</xdr:colOff>
      <xdr:row>6</xdr:row>
      <xdr:rowOff>130174</xdr:rowOff>
    </xdr:from>
    <xdr:to>
      <xdr:col>9</xdr:col>
      <xdr:colOff>381000</xdr:colOff>
      <xdr:row>8</xdr:row>
      <xdr:rowOff>130174</xdr:rowOff>
    </xdr:to>
    <xdr:sp macro="" textlink="Avg_Sp">
      <xdr:nvSpPr>
        <xdr:cNvPr id="41" name="TextBox 40">
          <a:extLst>
            <a:ext uri="{FF2B5EF4-FFF2-40B4-BE49-F238E27FC236}">
              <a16:creationId xmlns:a16="http://schemas.microsoft.com/office/drawing/2014/main" id="{580E16EF-8170-2209-6CAC-9AB632E19C2C}"/>
            </a:ext>
          </a:extLst>
        </xdr:cNvPr>
        <xdr:cNvSpPr txBox="1"/>
      </xdr:nvSpPr>
      <xdr:spPr>
        <a:xfrm>
          <a:off x="4747260" y="1227454"/>
          <a:ext cx="10744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B489BD-B89D-4489-8C37-F5D24B1C1E96}" type="TxLink">
            <a:rPr lang="en-US" sz="1800" b="1" i="0" u="none" strike="noStrike">
              <a:solidFill>
                <a:srgbClr val="000000"/>
              </a:solidFill>
              <a:latin typeface="Aptos Narrow"/>
              <a:ea typeface="+mn-ea"/>
              <a:cs typeface="+mn-cs"/>
            </a:rPr>
            <a:pPr marL="0" indent="0"/>
            <a:t> ₹ 350 </a:t>
          </a:fld>
          <a:endParaRPr lang="en-IN" sz="1800" b="1" i="0" u="none" strike="noStrike">
            <a:solidFill>
              <a:srgbClr val="000000"/>
            </a:solidFill>
            <a:latin typeface="Aptos Narrow"/>
            <a:ea typeface="+mn-ea"/>
            <a:cs typeface="+mn-cs"/>
          </a:endParaRPr>
        </a:p>
      </xdr:txBody>
    </xdr:sp>
    <xdr:clientData/>
  </xdr:twoCellAnchor>
  <xdr:twoCellAnchor>
    <xdr:from>
      <xdr:col>7</xdr:col>
      <xdr:colOff>604054</xdr:colOff>
      <xdr:row>12</xdr:row>
      <xdr:rowOff>45720</xdr:rowOff>
    </xdr:from>
    <xdr:to>
      <xdr:col>12</xdr:col>
      <xdr:colOff>121920</xdr:colOff>
      <xdr:row>27</xdr:row>
      <xdr:rowOff>152400</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EAE91AAA-C791-4A03-B47C-56D648CB1C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25534" y="2240280"/>
              <a:ext cx="2565866" cy="284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69942</xdr:colOff>
      <xdr:row>11</xdr:row>
      <xdr:rowOff>15240</xdr:rowOff>
    </xdr:from>
    <xdr:to>
      <xdr:col>11</xdr:col>
      <xdr:colOff>537610</xdr:colOff>
      <xdr:row>12</xdr:row>
      <xdr:rowOff>106680</xdr:rowOff>
    </xdr:to>
    <xdr:sp macro="" textlink="">
      <xdr:nvSpPr>
        <xdr:cNvPr id="43" name="TextBox 42">
          <a:extLst>
            <a:ext uri="{FF2B5EF4-FFF2-40B4-BE49-F238E27FC236}">
              <a16:creationId xmlns:a16="http://schemas.microsoft.com/office/drawing/2014/main" id="{1A2D7ABF-AE02-A85A-7C02-25EAAAA089CB}"/>
            </a:ext>
          </a:extLst>
        </xdr:cNvPr>
        <xdr:cNvSpPr txBox="1"/>
      </xdr:nvSpPr>
      <xdr:spPr>
        <a:xfrm>
          <a:off x="5510622" y="2026920"/>
          <a:ext cx="1686868"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solidFill>
                <a:srgbClr val="000000"/>
              </a:solidFill>
              <a:latin typeface="Aptos Narrow"/>
              <a:ea typeface="+mn-ea"/>
              <a:cs typeface="+mn-cs"/>
            </a:rPr>
            <a:t>Sales by Product</a:t>
          </a:r>
        </a:p>
        <a:p>
          <a:pPr marL="0" indent="0"/>
          <a:endParaRPr lang="en-IN" sz="1600" b="1" i="0" u="none" strike="noStrike">
            <a:solidFill>
              <a:srgbClr val="000000"/>
            </a:solidFill>
            <a:latin typeface="Aptos Narrow"/>
            <a:ea typeface="+mn-ea"/>
            <a:cs typeface="+mn-cs"/>
          </a:endParaRPr>
        </a:p>
      </xdr:txBody>
    </xdr:sp>
    <xdr:clientData/>
  </xdr:twoCellAnchor>
  <xdr:twoCellAnchor>
    <xdr:from>
      <xdr:col>1</xdr:col>
      <xdr:colOff>140154</xdr:colOff>
      <xdr:row>11</xdr:row>
      <xdr:rowOff>100698</xdr:rowOff>
    </xdr:from>
    <xdr:to>
      <xdr:col>7</xdr:col>
      <xdr:colOff>345894</xdr:colOff>
      <xdr:row>28</xdr:row>
      <xdr:rowOff>114300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A0B89503-6975-4F59-8DD3-73DBCA1705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168854" y="2112378"/>
              <a:ext cx="3398520" cy="31225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414973</xdr:colOff>
      <xdr:row>10</xdr:row>
      <xdr:rowOff>144780</xdr:rowOff>
    </xdr:from>
    <xdr:to>
      <xdr:col>6</xdr:col>
      <xdr:colOff>18733</xdr:colOff>
      <xdr:row>12</xdr:row>
      <xdr:rowOff>30480</xdr:rowOff>
    </xdr:to>
    <xdr:sp macro="" textlink="">
      <xdr:nvSpPr>
        <xdr:cNvPr id="45" name="TextBox 44">
          <a:extLst>
            <a:ext uri="{FF2B5EF4-FFF2-40B4-BE49-F238E27FC236}">
              <a16:creationId xmlns:a16="http://schemas.microsoft.com/office/drawing/2014/main" id="{998EF4F7-725D-0CFA-7045-D2340BAE99C8}"/>
            </a:ext>
          </a:extLst>
        </xdr:cNvPr>
        <xdr:cNvSpPr txBox="1"/>
      </xdr:nvSpPr>
      <xdr:spPr>
        <a:xfrm>
          <a:off x="2198053" y="1973580"/>
          <a:ext cx="14325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i="0" u="none" strike="noStrike">
              <a:solidFill>
                <a:srgbClr val="000000"/>
              </a:solidFill>
              <a:latin typeface="Aptos Narrow"/>
              <a:ea typeface="+mn-ea"/>
              <a:cs typeface="+mn-cs"/>
            </a:rPr>
            <a:t>Sales by Region</a:t>
          </a:r>
        </a:p>
      </xdr:txBody>
    </xdr:sp>
    <xdr:clientData/>
  </xdr:twoCellAnchor>
  <xdr:twoCellAnchor>
    <xdr:from>
      <xdr:col>13</xdr:col>
      <xdr:colOff>387851</xdr:colOff>
      <xdr:row>1</xdr:row>
      <xdr:rowOff>15240</xdr:rowOff>
    </xdr:from>
    <xdr:to>
      <xdr:col>17</xdr:col>
      <xdr:colOff>250691</xdr:colOff>
      <xdr:row>2</xdr:row>
      <xdr:rowOff>76200</xdr:rowOff>
    </xdr:to>
    <xdr:sp macro="" textlink="">
      <xdr:nvSpPr>
        <xdr:cNvPr id="47" name="TextBox 46">
          <a:extLst>
            <a:ext uri="{FF2B5EF4-FFF2-40B4-BE49-F238E27FC236}">
              <a16:creationId xmlns:a16="http://schemas.microsoft.com/office/drawing/2014/main" id="{734E423F-CD19-A302-8E69-DA6D8011A983}"/>
            </a:ext>
          </a:extLst>
        </xdr:cNvPr>
        <xdr:cNvSpPr txBox="1"/>
      </xdr:nvSpPr>
      <xdr:spPr>
        <a:xfrm>
          <a:off x="8266931" y="198120"/>
          <a:ext cx="230124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rgbClr val="000000"/>
              </a:solidFill>
              <a:latin typeface="Aptos Narrow"/>
              <a:ea typeface="+mn-ea"/>
              <a:cs typeface="+mn-cs"/>
            </a:rPr>
            <a:t>Sales</a:t>
          </a:r>
          <a:r>
            <a:rPr lang="en-IN" sz="1200" b="1" i="0" u="none" strike="noStrike" baseline="0">
              <a:solidFill>
                <a:srgbClr val="000000"/>
              </a:solidFill>
              <a:latin typeface="Aptos Narrow"/>
              <a:ea typeface="+mn-ea"/>
              <a:cs typeface="+mn-cs"/>
            </a:rPr>
            <a:t> Trends </a:t>
          </a:r>
          <a:r>
            <a:rPr lang="en-IN" sz="1200" b="0" i="0" u="none" strike="noStrike" baseline="0">
              <a:solidFill>
                <a:srgbClr val="000000"/>
              </a:solidFill>
              <a:latin typeface="Aptos Narrow"/>
              <a:ea typeface="+mn-ea"/>
              <a:cs typeface="+mn-cs"/>
            </a:rPr>
            <a:t>(</a:t>
          </a:r>
          <a:r>
            <a:rPr lang="en-IN" sz="1000" b="0" i="1" u="none" strike="noStrike" baseline="0">
              <a:solidFill>
                <a:srgbClr val="000000"/>
              </a:solidFill>
              <a:latin typeface="Aptos Narrow"/>
              <a:ea typeface="+mn-ea"/>
              <a:cs typeface="+mn-cs"/>
            </a:rPr>
            <a:t>In Months</a:t>
          </a:r>
          <a:r>
            <a:rPr lang="en-IN" sz="1200" b="0" i="0" u="none" strike="noStrike" baseline="0">
              <a:solidFill>
                <a:srgbClr val="000000"/>
              </a:solidFill>
              <a:latin typeface="Aptos Narrow"/>
              <a:ea typeface="+mn-ea"/>
              <a:cs typeface="+mn-cs"/>
            </a:rPr>
            <a:t>)</a:t>
          </a:r>
          <a:endParaRPr lang="en-IN" sz="1100" b="0"/>
        </a:p>
      </xdr:txBody>
    </xdr:sp>
    <xdr:clientData/>
  </xdr:twoCellAnchor>
  <xdr:twoCellAnchor>
    <xdr:from>
      <xdr:col>13</xdr:col>
      <xdr:colOff>15239</xdr:colOff>
      <xdr:row>14</xdr:row>
      <xdr:rowOff>175260</xdr:rowOff>
    </xdr:from>
    <xdr:to>
      <xdr:col>19</xdr:col>
      <xdr:colOff>601680</xdr:colOff>
      <xdr:row>28</xdr:row>
      <xdr:rowOff>114300</xdr:rowOff>
    </xdr:to>
    <xdr:graphicFrame macro="">
      <xdr:nvGraphicFramePr>
        <xdr:cNvPr id="49" name="Chart 48">
          <a:extLst>
            <a:ext uri="{FF2B5EF4-FFF2-40B4-BE49-F238E27FC236}">
              <a16:creationId xmlns:a16="http://schemas.microsoft.com/office/drawing/2014/main" id="{01532FAE-A92C-4DAD-9E23-1EACCAD1B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64105</xdr:colOff>
      <xdr:row>15</xdr:row>
      <xdr:rowOff>41732</xdr:rowOff>
    </xdr:from>
    <xdr:to>
      <xdr:col>18</xdr:col>
      <xdr:colOff>14255</xdr:colOff>
      <xdr:row>16</xdr:row>
      <xdr:rowOff>127191</xdr:rowOff>
    </xdr:to>
    <xdr:sp macro="" textlink="">
      <xdr:nvSpPr>
        <xdr:cNvPr id="50" name="TextBox 49">
          <a:extLst>
            <a:ext uri="{FF2B5EF4-FFF2-40B4-BE49-F238E27FC236}">
              <a16:creationId xmlns:a16="http://schemas.microsoft.com/office/drawing/2014/main" id="{8BEF7D4D-FB3C-5DA9-360A-37B43DD94FA6}"/>
            </a:ext>
          </a:extLst>
        </xdr:cNvPr>
        <xdr:cNvSpPr txBox="1"/>
      </xdr:nvSpPr>
      <xdr:spPr>
        <a:xfrm>
          <a:off x="9162385" y="2784932"/>
          <a:ext cx="1778950" cy="268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 5 Salespersons</a:t>
          </a:r>
        </a:p>
      </xdr:txBody>
    </xdr:sp>
    <xdr:clientData/>
  </xdr:twoCellAnchor>
  <xdr:twoCellAnchor editAs="oneCell">
    <xdr:from>
      <xdr:col>20</xdr:col>
      <xdr:colOff>256394</xdr:colOff>
      <xdr:row>0</xdr:row>
      <xdr:rowOff>129540</xdr:rowOff>
    </xdr:from>
    <xdr:to>
      <xdr:col>23</xdr:col>
      <xdr:colOff>205740</xdr:colOff>
      <xdr:row>4</xdr:row>
      <xdr:rowOff>129540</xdr:rowOff>
    </xdr:to>
    <mc:AlternateContent xmlns:mc="http://schemas.openxmlformats.org/markup-compatibility/2006" xmlns:a14="http://schemas.microsoft.com/office/drawing/2010/main">
      <mc:Choice Requires="a14">
        <xdr:graphicFrame macro="">
          <xdr:nvGraphicFramePr>
            <xdr:cNvPr id="51" name="Years (Date)">
              <a:extLst>
                <a:ext uri="{FF2B5EF4-FFF2-40B4-BE49-F238E27FC236}">
                  <a16:creationId xmlns:a16="http://schemas.microsoft.com/office/drawing/2014/main" id="{DED64E4B-FB7A-4C9D-B052-109B2D36719D}"/>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402674" y="129540"/>
              <a:ext cx="1778146"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256394</xdr:colOff>
      <xdr:row>4</xdr:row>
      <xdr:rowOff>94574</xdr:rowOff>
    </xdr:from>
    <xdr:to>
      <xdr:col>23</xdr:col>
      <xdr:colOff>243840</xdr:colOff>
      <xdr:row>16</xdr:row>
      <xdr:rowOff>0</xdr:rowOff>
    </xdr:to>
    <mc:AlternateContent xmlns:mc="http://schemas.openxmlformats.org/markup-compatibility/2006" xmlns:a14="http://schemas.microsoft.com/office/drawing/2010/main">
      <mc:Choice Requires="a14">
        <xdr:graphicFrame macro="">
          <xdr:nvGraphicFramePr>
            <xdr:cNvPr id="52" name="Months (Date)">
              <a:extLst>
                <a:ext uri="{FF2B5EF4-FFF2-40B4-BE49-F238E27FC236}">
                  <a16:creationId xmlns:a16="http://schemas.microsoft.com/office/drawing/2014/main" id="{2F40A5EB-1839-4C01-9C5A-B24E04C4CE9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402674" y="826094"/>
              <a:ext cx="1816246" cy="2099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256394</xdr:colOff>
      <xdr:row>15</xdr:row>
      <xdr:rowOff>156672</xdr:rowOff>
    </xdr:from>
    <xdr:to>
      <xdr:col>23</xdr:col>
      <xdr:colOff>199421</xdr:colOff>
      <xdr:row>28</xdr:row>
      <xdr:rowOff>121065</xdr:rowOff>
    </xdr:to>
    <mc:AlternateContent xmlns:mc="http://schemas.openxmlformats.org/markup-compatibility/2006" xmlns:a14="http://schemas.microsoft.com/office/drawing/2010/main">
      <mc:Choice Requires="a14">
        <xdr:graphicFrame macro="">
          <xdr:nvGraphicFramePr>
            <xdr:cNvPr id="53" name="State">
              <a:extLst>
                <a:ext uri="{FF2B5EF4-FFF2-40B4-BE49-F238E27FC236}">
                  <a16:creationId xmlns:a16="http://schemas.microsoft.com/office/drawing/2014/main" id="{0CA147E8-44E5-4232-B76A-85F016D1E75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02674" y="2899872"/>
              <a:ext cx="1771827" cy="2341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569733</xdr:colOff>
      <xdr:row>2</xdr:row>
      <xdr:rowOff>132174</xdr:rowOff>
    </xdr:from>
    <xdr:to>
      <xdr:col>20</xdr:col>
      <xdr:colOff>13</xdr:colOff>
      <xdr:row>13</xdr:row>
      <xdr:rowOff>167782</xdr:rowOff>
    </xdr:to>
    <xdr:graphicFrame macro="">
      <xdr:nvGraphicFramePr>
        <xdr:cNvPr id="55" name="Chart 54">
          <a:extLst>
            <a:ext uri="{FF2B5EF4-FFF2-40B4-BE49-F238E27FC236}">
              <a16:creationId xmlns:a16="http://schemas.microsoft.com/office/drawing/2014/main" id="{83EB4263-911C-4DD9-A20F-E4F85B7A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213360</xdr:colOff>
      <xdr:row>0</xdr:row>
      <xdr:rowOff>129540</xdr:rowOff>
    </xdr:from>
    <xdr:to>
      <xdr:col>3</xdr:col>
      <xdr:colOff>243840</xdr:colOff>
      <xdr:row>4</xdr:row>
      <xdr:rowOff>38100</xdr:rowOff>
    </xdr:to>
    <xdr:pic>
      <xdr:nvPicPr>
        <xdr:cNvPr id="8" name="Picture 7">
          <a:extLst>
            <a:ext uri="{FF2B5EF4-FFF2-40B4-BE49-F238E27FC236}">
              <a16:creationId xmlns:a16="http://schemas.microsoft.com/office/drawing/2014/main" id="{392FF78A-82B6-A9C2-9C66-953E1C8F103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86840" y="129540"/>
          <a:ext cx="640080" cy="640080"/>
        </a:xfrm>
        <a:prstGeom prst="rect">
          <a:avLst/>
        </a:prstGeom>
      </xdr:spPr>
    </xdr:pic>
    <xdr:clientData/>
  </xdr:twoCellAnchor>
  <xdr:twoCellAnchor editAs="oneCell">
    <xdr:from>
      <xdr:col>14</xdr:col>
      <xdr:colOff>502920</xdr:colOff>
      <xdr:row>15</xdr:row>
      <xdr:rowOff>38099</xdr:rowOff>
    </xdr:from>
    <xdr:to>
      <xdr:col>15</xdr:col>
      <xdr:colOff>92862</xdr:colOff>
      <xdr:row>16</xdr:row>
      <xdr:rowOff>135070</xdr:rowOff>
    </xdr:to>
    <xdr:pic>
      <xdr:nvPicPr>
        <xdr:cNvPr id="12" name="Picture 11">
          <a:extLst>
            <a:ext uri="{FF2B5EF4-FFF2-40B4-BE49-F238E27FC236}">
              <a16:creationId xmlns:a16="http://schemas.microsoft.com/office/drawing/2014/main" id="{D71AF2DE-F194-10D1-FC19-9303C82527D2}"/>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4729" r="13969"/>
        <a:stretch>
          <a:fillRect/>
        </a:stretch>
      </xdr:blipFill>
      <xdr:spPr>
        <a:xfrm>
          <a:off x="8991600" y="2781299"/>
          <a:ext cx="199542" cy="279851"/>
        </a:xfrm>
        <a:prstGeom prst="rect">
          <a:avLst/>
        </a:prstGeom>
      </xdr:spPr>
    </xdr:pic>
    <xdr:clientData/>
  </xdr:twoCellAnchor>
  <xdr:twoCellAnchor editAs="oneCell">
    <xdr:from>
      <xdr:col>8</xdr:col>
      <xdr:colOff>510540</xdr:colOff>
      <xdr:row>11</xdr:row>
      <xdr:rowOff>60350</xdr:rowOff>
    </xdr:from>
    <xdr:to>
      <xdr:col>9</xdr:col>
      <xdr:colOff>99060</xdr:colOff>
      <xdr:row>12</xdr:row>
      <xdr:rowOff>75590</xdr:rowOff>
    </xdr:to>
    <xdr:pic>
      <xdr:nvPicPr>
        <xdr:cNvPr id="18" name="Picture 17">
          <a:extLst>
            <a:ext uri="{FF2B5EF4-FFF2-40B4-BE49-F238E27FC236}">
              <a16:creationId xmlns:a16="http://schemas.microsoft.com/office/drawing/2014/main" id="{30C919F9-A996-6BE3-4AB5-9C93B71DCBA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341620" y="2072030"/>
          <a:ext cx="198120" cy="198120"/>
        </a:xfrm>
        <a:prstGeom prst="rect">
          <a:avLst/>
        </a:prstGeom>
      </xdr:spPr>
    </xdr:pic>
    <xdr:clientData/>
  </xdr:twoCellAnchor>
  <xdr:twoCellAnchor editAs="oneCell">
    <xdr:from>
      <xdr:col>3</xdr:col>
      <xdr:colOff>243840</xdr:colOff>
      <xdr:row>11</xdr:row>
      <xdr:rowOff>2</xdr:rowOff>
    </xdr:from>
    <xdr:to>
      <xdr:col>3</xdr:col>
      <xdr:colOff>487680</xdr:colOff>
      <xdr:row>12</xdr:row>
      <xdr:rowOff>60962</xdr:rowOff>
    </xdr:to>
    <xdr:pic>
      <xdr:nvPicPr>
        <xdr:cNvPr id="21" name="Picture 20">
          <a:extLst>
            <a:ext uri="{FF2B5EF4-FFF2-40B4-BE49-F238E27FC236}">
              <a16:creationId xmlns:a16="http://schemas.microsoft.com/office/drawing/2014/main" id="{3FA1CE56-81C8-66C8-A08D-929A5E53E9C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26920" y="2011682"/>
          <a:ext cx="243840" cy="243840"/>
        </a:xfrm>
        <a:prstGeom prst="rect">
          <a:avLst/>
        </a:prstGeom>
      </xdr:spPr>
    </xdr:pic>
    <xdr:clientData/>
  </xdr:twoCellAnchor>
  <xdr:twoCellAnchor editAs="oneCell">
    <xdr:from>
      <xdr:col>7</xdr:col>
      <xdr:colOff>228601</xdr:colOff>
      <xdr:row>5</xdr:row>
      <xdr:rowOff>106681</xdr:rowOff>
    </xdr:from>
    <xdr:to>
      <xdr:col>7</xdr:col>
      <xdr:colOff>419100</xdr:colOff>
      <xdr:row>6</xdr:row>
      <xdr:rowOff>114300</xdr:rowOff>
    </xdr:to>
    <xdr:pic>
      <xdr:nvPicPr>
        <xdr:cNvPr id="23" name="Picture 22">
          <a:extLst>
            <a:ext uri="{FF2B5EF4-FFF2-40B4-BE49-F238E27FC236}">
              <a16:creationId xmlns:a16="http://schemas.microsoft.com/office/drawing/2014/main" id="{9E3ED8E7-F003-0831-5A04-D54116822167}"/>
            </a:ext>
          </a:extLst>
        </xdr:cNvPr>
        <xdr:cNvPicPr>
          <a:picLocks noChangeAspect="1"/>
        </xdr:cNvPicPr>
      </xdr:nvPicPr>
      <xdr:blipFill>
        <a:blip xmlns:r="http://schemas.openxmlformats.org/officeDocument/2006/relationships" r:embed="rId20"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450081" y="1021081"/>
          <a:ext cx="190499" cy="190499"/>
        </a:xfrm>
        <a:prstGeom prst="rect">
          <a:avLst/>
        </a:prstGeom>
      </xdr:spPr>
    </xdr:pic>
    <xdr:clientData/>
  </xdr:twoCellAnchor>
  <xdr:twoCellAnchor editAs="oneCell">
    <xdr:from>
      <xdr:col>4</xdr:col>
      <xdr:colOff>518160</xdr:colOff>
      <xdr:row>5</xdr:row>
      <xdr:rowOff>129544</xdr:rowOff>
    </xdr:from>
    <xdr:to>
      <xdr:col>5</xdr:col>
      <xdr:colOff>129540</xdr:colOff>
      <xdr:row>6</xdr:row>
      <xdr:rowOff>167644</xdr:rowOff>
    </xdr:to>
    <xdr:pic>
      <xdr:nvPicPr>
        <xdr:cNvPr id="25" name="Picture 24">
          <a:extLst>
            <a:ext uri="{FF2B5EF4-FFF2-40B4-BE49-F238E27FC236}">
              <a16:creationId xmlns:a16="http://schemas.microsoft.com/office/drawing/2014/main" id="{FBAB8B61-4B1F-C307-11FF-FEA1356B4E61}"/>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910840" y="1043944"/>
          <a:ext cx="220980" cy="220980"/>
        </a:xfrm>
        <a:prstGeom prst="rect">
          <a:avLst/>
        </a:prstGeom>
      </xdr:spPr>
    </xdr:pic>
    <xdr:clientData/>
  </xdr:twoCellAnchor>
  <xdr:twoCellAnchor editAs="oneCell">
    <xdr:from>
      <xdr:col>13</xdr:col>
      <xdr:colOff>205740</xdr:colOff>
      <xdr:row>1</xdr:row>
      <xdr:rowOff>60350</xdr:rowOff>
    </xdr:from>
    <xdr:to>
      <xdr:col>13</xdr:col>
      <xdr:colOff>381610</xdr:colOff>
      <xdr:row>2</xdr:row>
      <xdr:rowOff>53340</xdr:rowOff>
    </xdr:to>
    <xdr:pic>
      <xdr:nvPicPr>
        <xdr:cNvPr id="27" name="Picture 26">
          <a:extLst>
            <a:ext uri="{FF2B5EF4-FFF2-40B4-BE49-F238E27FC236}">
              <a16:creationId xmlns:a16="http://schemas.microsoft.com/office/drawing/2014/main" id="{8F5CEA80-5C19-A117-E96B-DE1A11446022}"/>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084820" y="243230"/>
          <a:ext cx="175870" cy="175870"/>
        </a:xfrm>
        <a:prstGeom prst="rect">
          <a:avLst/>
        </a:prstGeom>
      </xdr:spPr>
    </xdr:pic>
    <xdr:clientData/>
  </xdr:twoCellAnchor>
  <xdr:twoCellAnchor editAs="oneCell">
    <xdr:from>
      <xdr:col>2</xdr:col>
      <xdr:colOff>60350</xdr:colOff>
      <xdr:row>5</xdr:row>
      <xdr:rowOff>83820</xdr:rowOff>
    </xdr:from>
    <xdr:to>
      <xdr:col>2</xdr:col>
      <xdr:colOff>312420</xdr:colOff>
      <xdr:row>6</xdr:row>
      <xdr:rowOff>153010</xdr:rowOff>
    </xdr:to>
    <xdr:pic>
      <xdr:nvPicPr>
        <xdr:cNvPr id="29" name="Picture 28">
          <a:extLst>
            <a:ext uri="{FF2B5EF4-FFF2-40B4-BE49-F238E27FC236}">
              <a16:creationId xmlns:a16="http://schemas.microsoft.com/office/drawing/2014/main" id="{4E215E59-B719-E6B6-5BD1-B8282815BBB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33830" y="998220"/>
          <a:ext cx="252070" cy="252070"/>
        </a:xfrm>
        <a:prstGeom prst="rect">
          <a:avLst/>
        </a:prstGeom>
      </xdr:spPr>
    </xdr:pic>
    <xdr:clientData/>
  </xdr:twoCellAnchor>
  <xdr:twoCellAnchor>
    <xdr:from>
      <xdr:col>10</xdr:col>
      <xdr:colOff>0</xdr:colOff>
      <xdr:row>5</xdr:row>
      <xdr:rowOff>76834</xdr:rowOff>
    </xdr:from>
    <xdr:to>
      <xdr:col>12</xdr:col>
      <xdr:colOff>259080</xdr:colOff>
      <xdr:row>9</xdr:row>
      <xdr:rowOff>44075</xdr:rowOff>
    </xdr:to>
    <xdr:sp macro="" textlink="">
      <xdr:nvSpPr>
        <xdr:cNvPr id="7" name="Rectangle: Rounded Corners 6">
          <a:extLst>
            <a:ext uri="{FF2B5EF4-FFF2-40B4-BE49-F238E27FC236}">
              <a16:creationId xmlns:a16="http://schemas.microsoft.com/office/drawing/2014/main" id="{69EA7A71-D302-4F12-8DF3-33A4DF35EA55}"/>
            </a:ext>
          </a:extLst>
        </xdr:cNvPr>
        <xdr:cNvSpPr/>
      </xdr:nvSpPr>
      <xdr:spPr>
        <a:xfrm>
          <a:off x="6050280" y="991234"/>
          <a:ext cx="1478280" cy="698761"/>
        </a:xfrm>
        <a:prstGeom prst="roundRect">
          <a:avLst/>
        </a:prstGeom>
        <a:solidFill>
          <a:schemeClr val="bg1"/>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289560</xdr:colOff>
      <xdr:row>6</xdr:row>
      <xdr:rowOff>137794</xdr:rowOff>
    </xdr:from>
    <xdr:to>
      <xdr:col>12</xdr:col>
      <xdr:colOff>144780</xdr:colOff>
      <xdr:row>8</xdr:row>
      <xdr:rowOff>137794</xdr:rowOff>
    </xdr:to>
    <xdr:sp macro="" textlink="'Calculative Fields'!C12">
      <xdr:nvSpPr>
        <xdr:cNvPr id="9" name="TextBox 8">
          <a:extLst>
            <a:ext uri="{FF2B5EF4-FFF2-40B4-BE49-F238E27FC236}">
              <a16:creationId xmlns:a16="http://schemas.microsoft.com/office/drawing/2014/main" id="{084E29BB-DBFA-92D9-7F87-EE18FC16D1CB}"/>
            </a:ext>
          </a:extLst>
        </xdr:cNvPr>
        <xdr:cNvSpPr txBox="1"/>
      </xdr:nvSpPr>
      <xdr:spPr>
        <a:xfrm>
          <a:off x="6339840" y="1235074"/>
          <a:ext cx="10744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E09987-FDF1-4320-A647-98BF6DD84575}" type="TxLink">
            <a:rPr lang="en-US" sz="1800" b="1" i="0" u="none" strike="noStrike">
              <a:solidFill>
                <a:srgbClr val="000000"/>
              </a:solidFill>
              <a:latin typeface="Calibri"/>
              <a:ea typeface="Calibri"/>
              <a:cs typeface="Calibri"/>
            </a:rPr>
            <a:t>Kerala</a:t>
          </a:fld>
          <a:endParaRPr lang="en-IN" sz="3200" b="1" i="0" u="none" strike="noStrike">
            <a:solidFill>
              <a:srgbClr val="000000"/>
            </a:solidFill>
            <a:latin typeface="Aptos Narrow"/>
            <a:ea typeface="+mn-ea"/>
            <a:cs typeface="+mn-cs"/>
          </a:endParaRPr>
        </a:p>
      </xdr:txBody>
    </xdr:sp>
    <xdr:clientData/>
  </xdr:twoCellAnchor>
  <xdr:twoCellAnchor>
    <xdr:from>
      <xdr:col>10</xdr:col>
      <xdr:colOff>289560</xdr:colOff>
      <xdr:row>5</xdr:row>
      <xdr:rowOff>84454</xdr:rowOff>
    </xdr:from>
    <xdr:to>
      <xdr:col>12</xdr:col>
      <xdr:colOff>365760</xdr:colOff>
      <xdr:row>6</xdr:row>
      <xdr:rowOff>152400</xdr:rowOff>
    </xdr:to>
    <xdr:sp macro="" textlink="">
      <xdr:nvSpPr>
        <xdr:cNvPr id="16" name="TextBox 15">
          <a:extLst>
            <a:ext uri="{FF2B5EF4-FFF2-40B4-BE49-F238E27FC236}">
              <a16:creationId xmlns:a16="http://schemas.microsoft.com/office/drawing/2014/main" id="{4F616169-E4F9-26C8-0ECA-945A799B81B9}"/>
            </a:ext>
          </a:extLst>
        </xdr:cNvPr>
        <xdr:cNvSpPr txBox="1"/>
      </xdr:nvSpPr>
      <xdr:spPr>
        <a:xfrm>
          <a:off x="6339840" y="998854"/>
          <a:ext cx="1295400" cy="250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1"/>
              </a:solidFill>
            </a:rPr>
            <a:t># Top Region</a:t>
          </a:r>
        </a:p>
        <a:p>
          <a:endParaRPr lang="en-IN" sz="1400" b="1" baseline="0">
            <a:solidFill>
              <a:schemeClr val="accent1"/>
            </a:solidFill>
          </a:endParaRPr>
        </a:p>
        <a:p>
          <a:endParaRPr lang="en-IN" sz="1400" b="1"/>
        </a:p>
        <a:p>
          <a:endParaRPr lang="en-IN" sz="1100"/>
        </a:p>
      </xdr:txBody>
    </xdr:sp>
    <xdr:clientData/>
  </xdr:twoCellAnchor>
  <xdr:twoCellAnchor editAs="oneCell">
    <xdr:from>
      <xdr:col>10</xdr:col>
      <xdr:colOff>60960</xdr:colOff>
      <xdr:row>5</xdr:row>
      <xdr:rowOff>106680</xdr:rowOff>
    </xdr:from>
    <xdr:to>
      <xdr:col>10</xdr:col>
      <xdr:colOff>288950</xdr:colOff>
      <xdr:row>6</xdr:row>
      <xdr:rowOff>151790</xdr:rowOff>
    </xdr:to>
    <xdr:pic>
      <xdr:nvPicPr>
        <xdr:cNvPr id="24" name="Picture 23">
          <a:extLst>
            <a:ext uri="{FF2B5EF4-FFF2-40B4-BE49-F238E27FC236}">
              <a16:creationId xmlns:a16="http://schemas.microsoft.com/office/drawing/2014/main" id="{005F7620-AF66-FABE-0F9C-BCB3A5B0B887}"/>
            </a:ext>
          </a:extLst>
        </xdr:cNvPr>
        <xdr:cNvPicPr>
          <a:picLocks noChangeAspect="1"/>
        </xdr:cNvPicPr>
      </xdr:nvPicPr>
      <xdr:blipFill>
        <a:blip xmlns:r="http://schemas.openxmlformats.org/officeDocument/2006/relationships" r:embed="rId24" cstate="print">
          <a:duotone>
            <a:schemeClr val="accent1">
              <a:shade val="45000"/>
              <a:satMod val="135000"/>
            </a:schemeClr>
            <a:prstClr val="white"/>
          </a:duotone>
          <a:extLst>
            <a:ext uri="{BEBA8EAE-BF5A-486C-A8C5-ECC9F3942E4B}">
              <a14:imgProps xmlns:a14="http://schemas.microsoft.com/office/drawing/2010/main">
                <a14:imgLayer r:embed="rId25">
                  <a14:imgEffect>
                    <a14:saturation sat="0"/>
                  </a14:imgEffect>
                </a14:imgLayer>
              </a14:imgProps>
            </a:ext>
            <a:ext uri="{28A0092B-C50C-407E-A947-70E740481C1C}">
              <a14:useLocalDpi xmlns:a14="http://schemas.microsoft.com/office/drawing/2010/main" val="0"/>
            </a:ext>
          </a:extLst>
        </a:blip>
        <a:stretch>
          <a:fillRect/>
        </a:stretch>
      </xdr:blipFill>
      <xdr:spPr>
        <a:xfrm>
          <a:off x="6111240" y="1021080"/>
          <a:ext cx="227990" cy="227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220376</xdr:colOff>
      <xdr:row>19</xdr:row>
      <xdr:rowOff>7428</xdr:rowOff>
    </xdr:from>
    <xdr:to>
      <xdr:col>0</xdr:col>
      <xdr:colOff>859937</xdr:colOff>
      <xdr:row>22</xdr:row>
      <xdr:rowOff>98349</xdr:rowOff>
    </xdr:to>
    <xdr:pic>
      <xdr:nvPicPr>
        <xdr:cNvPr id="5" name="Graphic 4" descr="Database with solid fill">
          <a:hlinkClick xmlns:r="http://schemas.openxmlformats.org/officeDocument/2006/relationships" r:id="rId1"/>
          <a:extLst>
            <a:ext uri="{FF2B5EF4-FFF2-40B4-BE49-F238E27FC236}">
              <a16:creationId xmlns:a16="http://schemas.microsoft.com/office/drawing/2014/main" id="{1079F761-8088-4B9D-87DB-F3817B7E337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376" y="3482148"/>
          <a:ext cx="639561" cy="639561"/>
        </a:xfrm>
        <a:prstGeom prst="rect">
          <a:avLst/>
        </a:prstGeom>
      </xdr:spPr>
    </xdr:pic>
    <xdr:clientData/>
  </xdr:twoCellAnchor>
  <xdr:twoCellAnchor editAs="oneCell">
    <xdr:from>
      <xdr:col>0</xdr:col>
      <xdr:colOff>196392</xdr:colOff>
      <xdr:row>7</xdr:row>
      <xdr:rowOff>53190</xdr:rowOff>
    </xdr:from>
    <xdr:to>
      <xdr:col>0</xdr:col>
      <xdr:colOff>883920</xdr:colOff>
      <xdr:row>11</xdr:row>
      <xdr:rowOff>9198</xdr:rowOff>
    </xdr:to>
    <xdr:pic>
      <xdr:nvPicPr>
        <xdr:cNvPr id="6" name="Graphic 5" descr="Pie chart with solid fill">
          <a:hlinkClick xmlns:r="http://schemas.openxmlformats.org/officeDocument/2006/relationships" r:id="rId4"/>
          <a:extLst>
            <a:ext uri="{FF2B5EF4-FFF2-40B4-BE49-F238E27FC236}">
              <a16:creationId xmlns:a16="http://schemas.microsoft.com/office/drawing/2014/main" id="{326C33E2-4DAC-4573-981D-6097668233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392" y="1333350"/>
          <a:ext cx="687528" cy="687528"/>
        </a:xfrm>
        <a:prstGeom prst="rect">
          <a:avLst/>
        </a:prstGeom>
      </xdr:spPr>
    </xdr:pic>
    <xdr:clientData/>
  </xdr:twoCellAnchor>
  <xdr:twoCellAnchor editAs="oneCell">
    <xdr:from>
      <xdr:col>0</xdr:col>
      <xdr:colOff>220376</xdr:colOff>
      <xdr:row>13</xdr:row>
      <xdr:rowOff>54293</xdr:rowOff>
    </xdr:from>
    <xdr:to>
      <xdr:col>0</xdr:col>
      <xdr:colOff>859937</xdr:colOff>
      <xdr:row>16</xdr:row>
      <xdr:rowOff>145214</xdr:rowOff>
    </xdr:to>
    <xdr:pic>
      <xdr:nvPicPr>
        <xdr:cNvPr id="7" name="Graphic 6" descr="Mathematics with solid fill">
          <a:hlinkClick xmlns:r="http://schemas.openxmlformats.org/officeDocument/2006/relationships" r:id="rId7"/>
          <a:extLst>
            <a:ext uri="{FF2B5EF4-FFF2-40B4-BE49-F238E27FC236}">
              <a16:creationId xmlns:a16="http://schemas.microsoft.com/office/drawing/2014/main" id="{157542C6-676F-49DD-BEB9-68E93E047E9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376" y="2431733"/>
          <a:ext cx="639561" cy="639561"/>
        </a:xfrm>
        <a:prstGeom prst="rect">
          <a:avLst/>
        </a:prstGeom>
      </xdr:spPr>
    </xdr:pic>
    <xdr:clientData/>
  </xdr:twoCellAnchor>
  <xdr:twoCellAnchor editAs="oneCell">
    <xdr:from>
      <xdr:col>0</xdr:col>
      <xdr:colOff>124543</xdr:colOff>
      <xdr:row>1</xdr:row>
      <xdr:rowOff>99060</xdr:rowOff>
    </xdr:from>
    <xdr:to>
      <xdr:col>0</xdr:col>
      <xdr:colOff>919398</xdr:colOff>
      <xdr:row>5</xdr:row>
      <xdr:rowOff>45720</xdr:rowOff>
    </xdr:to>
    <xdr:pic>
      <xdr:nvPicPr>
        <xdr:cNvPr id="8" name="Picture 7">
          <a:extLst>
            <a:ext uri="{FF2B5EF4-FFF2-40B4-BE49-F238E27FC236}">
              <a16:creationId xmlns:a16="http://schemas.microsoft.com/office/drawing/2014/main" id="{A848BD58-AB6B-4D67-A858-EB8A27ABECA2}"/>
            </a:ext>
          </a:extLst>
        </xdr:cNvPr>
        <xdr:cNvPicPr>
          <a:picLocks noChangeAspect="1"/>
        </xdr:cNvPicPr>
      </xdr:nvPicPr>
      <xdr:blipFill rotWithShape="1">
        <a:blip xmlns:r="http://schemas.openxmlformats.org/officeDocument/2006/relationships" r:embed="rId10" cstate="print">
          <a:duotone>
            <a:schemeClr val="accent1">
              <a:shade val="45000"/>
              <a:satMod val="135000"/>
            </a:schemeClr>
            <a:prstClr val="white"/>
          </a:duotone>
          <a:extLst>
            <a:ext uri="{BEBA8EAE-BF5A-486C-A8C5-ECC9F3942E4B}">
              <a14:imgProps xmlns:a14="http://schemas.microsoft.com/office/drawing/2010/main">
                <a14:imgLayer r:embed="rId11">
                  <a14:imgEffect>
                    <a14:backgroundRemoval t="16308" b="83077" l="4308" r="93538">
                      <a14:foregroundMark x1="34462" y1="36000" x2="52000" y2="52923"/>
                      <a14:foregroundMark x1="39692" y1="33846" x2="60308" y2="57538"/>
                      <a14:foregroundMark x1="53231" y1="45538" x2="71077" y2="64308"/>
                      <a14:foregroundMark x1="61538" y1="45538" x2="75692" y2="56308"/>
                      <a14:foregroundMark x1="66154" y1="44000" x2="79692" y2="56923"/>
                      <a14:foregroundMark x1="67692" y1="36615" x2="85231" y2="52000"/>
                      <a14:foregroundMark x1="81846" y1="45538" x2="73538" y2="64923"/>
                      <a14:foregroundMark x1="79692" y1="50769" x2="53231" y2="72308"/>
                      <a14:foregroundMark x1="77538" y1="50769" x2="53538" y2="73231"/>
                      <a14:foregroundMark x1="72308" y1="67077" x2="62769" y2="68308"/>
                      <a14:foregroundMark x1="69538" y1="67692" x2="50154" y2="67692"/>
                      <a14:foregroundMark x1="43385" y1="59077" x2="43385" y2="59077"/>
                      <a14:foregroundMark x1="47385" y1="59692" x2="47385" y2="59692"/>
                      <a14:foregroundMark x1="53538" y1="59692" x2="53538" y2="59692"/>
                      <a14:foregroundMark x1="54154" y1="57538" x2="54154" y2="57538"/>
                      <a14:foregroundMark x1="72308" y1="21231" x2="72308" y2="21231"/>
                      <a14:foregroundMark x1="74154" y1="21846" x2="74154" y2="21846"/>
                      <a14:foregroundMark x1="76923" y1="21846" x2="76923" y2="21846"/>
                      <a14:foregroundMark x1="70154" y1="20308" x2="70154" y2="20308"/>
                      <a14:foregroundMark x1="67692" y1="20308" x2="67692" y2="20308"/>
                      <a14:foregroundMark x1="64308" y1="20308" x2="64308" y2="20308"/>
                      <a14:foregroundMark x1="62769" y1="20308" x2="62769" y2="20308"/>
                      <a14:foregroundMark x1="60308" y1="19692" x2="60308" y2="19692"/>
                      <a14:foregroundMark x1="58154" y1="19692" x2="58154" y2="19692"/>
                      <a14:foregroundMark x1="54769" y1="17846" x2="54769" y2="17846"/>
                      <a14:foregroundMark x1="49846" y1="18462" x2="49846" y2="18462"/>
                      <a14:foregroundMark x1="43385" y1="19077" x2="43385" y2="19077"/>
                      <a14:foregroundMark x1="37231" y1="21846" x2="37231" y2="21846"/>
                      <a14:foregroundMark x1="36615" y1="20308" x2="36615" y2="20308"/>
                      <a14:foregroundMark x1="39077" y1="18462" x2="39077" y2="18462"/>
                      <a14:foregroundMark x1="33231" y1="20308" x2="33231" y2="20308"/>
                      <a14:foregroundMark x1="29231" y1="20308" x2="29231" y2="20308"/>
                      <a14:foregroundMark x1="23692" y1="21846" x2="23692" y2="21846"/>
                      <a14:foregroundMark x1="17538" y1="24615" x2="17538" y2="24615"/>
                      <a14:foregroundMark x1="12308" y1="27077" x2="12308" y2="27077"/>
                      <a14:foregroundMark x1="8615" y1="30462" x2="8615" y2="30462"/>
                      <a14:foregroundMark x1="8615" y1="34462" x2="8615" y2="34462"/>
                      <a14:foregroundMark x1="4615" y1="40615" x2="4615" y2="40615"/>
                      <a14:foregroundMark x1="6154" y1="39385" x2="6154" y2="39385"/>
                      <a14:foregroundMark x1="6769" y1="42769" x2="6769" y2="42769"/>
                      <a14:foregroundMark x1="5538" y1="48923" x2="5538" y2="48923"/>
                      <a14:foregroundMark x1="6154" y1="52308" x2="6154" y2="52308"/>
                      <a14:foregroundMark x1="5231" y1="48615" x2="5231" y2="48615"/>
                      <a14:foregroundMark x1="7385" y1="50769" x2="8000" y2="52308"/>
                      <a14:foregroundMark x1="49231" y1="17538" x2="49231" y2="17538"/>
                      <a14:foregroundMark x1="50769" y1="16923" x2="50769" y2="16923"/>
                      <a14:foregroundMark x1="50769" y1="16308" x2="50769" y2="16308"/>
                      <a14:foregroundMark x1="70154" y1="17538" x2="70154" y2="17538"/>
                      <a14:foregroundMark x1="75692" y1="20923" x2="75692" y2="20923"/>
                      <a14:foregroundMark x1="81231" y1="24308" x2="81231" y2="24308"/>
                      <a14:foregroundMark x1="85846" y1="28615" x2="85846" y2="28615"/>
                      <a14:foregroundMark x1="84308" y1="25231" x2="84308" y2="25231"/>
                      <a14:foregroundMark x1="88615" y1="29231" x2="88615" y2="29231"/>
                      <a14:foregroundMark x1="91077" y1="36000" x2="91077" y2="36000"/>
                      <a14:foregroundMark x1="93846" y1="40000" x2="93846" y2="40000"/>
                      <a14:foregroundMark x1="92615" y1="46769" x2="92615" y2="46769"/>
                      <a14:foregroundMark x1="91385" y1="53538" x2="89846" y2="53538"/>
                      <a14:foregroundMark x1="92000" y1="55692" x2="92000" y2="55692"/>
                      <a14:foregroundMark x1="91077" y1="61538" x2="91077" y2="61538"/>
                      <a14:foregroundMark x1="87077" y1="64923" x2="87077" y2="64923"/>
                      <a14:foregroundMark x1="82462" y1="71077" x2="84308" y2="71077"/>
                      <a14:foregroundMark x1="78462" y1="75692" x2="78462" y2="75692"/>
                      <a14:foregroundMark x1="75692" y1="76308" x2="75692" y2="76308"/>
                      <a14:foregroundMark x1="68308" y1="79692" x2="68308" y2="79692"/>
                      <a14:foregroundMark x1="62769" y1="81231" x2="62769" y2="81231"/>
                      <a14:foregroundMark x1="56923" y1="81231" x2="59385" y2="81231"/>
                      <a14:foregroundMark x1="51385" y1="81231" x2="51385" y2="81231"/>
                      <a14:foregroundMark x1="48615" y1="81231" x2="48615" y2="81231"/>
                      <a14:foregroundMark x1="45231" y1="83077" x2="45231" y2="83077"/>
                      <a14:foregroundMark x1="37231" y1="82462" x2="37231" y2="82462"/>
                      <a14:foregroundMark x1="41846" y1="80615" x2="41846" y2="80615"/>
                      <a14:foregroundMark x1="36308" y1="79692" x2="36308" y2="79692"/>
                      <a14:foregroundMark x1="31692" y1="79692" x2="31692" y2="79692"/>
                      <a14:foregroundMark x1="25846" y1="78462" x2="28923" y2="77846"/>
                      <a14:foregroundMark x1="22154" y1="75692" x2="22154" y2="75692"/>
                      <a14:foregroundMark x1="18154" y1="73231" x2="18154" y2="73231"/>
                      <a14:foregroundMark x1="15385" y1="68923" x2="15385" y2="68923"/>
                      <a14:foregroundMark x1="12308" y1="65538" x2="12308" y2="65538"/>
                      <a14:foregroundMark x1="31077" y1="47385" x2="31077" y2="47385"/>
                      <a14:foregroundMark x1="37231" y1="41846" x2="44615" y2="78769"/>
                      <a14:foregroundMark x1="44615" y1="78769" x2="15385" y2="50154"/>
                      <a14:foregroundMark x1="15385" y1="50154" x2="51385" y2="67692"/>
                      <a14:foregroundMark x1="51385" y1="67692" x2="50769" y2="71692"/>
                      <a14:foregroundMark x1="15692" y1="48923" x2="32615" y2="51385"/>
                      <a14:foregroundMark x1="21538" y1="31385" x2="21538" y2="31385"/>
                      <a14:foregroundMark x1="26462" y1="35077" x2="26462" y2="35077"/>
                      <a14:foregroundMark x1="31692" y1="30462" x2="31692" y2="30462"/>
                      <a14:foregroundMark x1="33846" y1="31385" x2="33846" y2="31385"/>
                      <a14:foregroundMark x1="43077" y1="32000" x2="43077" y2="32000"/>
                      <a14:foregroundMark x1="42462" y1="33231" x2="42462" y2="33231"/>
                      <a14:foregroundMark x1="51385" y1="32000" x2="51385" y2="32000"/>
                      <a14:foregroundMark x1="51385" y1="30462" x2="51385" y2="30462"/>
                      <a14:foregroundMark x1="56000" y1="31077" x2="56000" y2="31077"/>
                      <a14:foregroundMark x1="64923" y1="31077" x2="64923" y2="31077"/>
                      <a14:foregroundMark x1="65538" y1="29231" x2="65538" y2="29231"/>
                      <a14:foregroundMark x1="72923" y1="32000" x2="72923" y2="32000"/>
                      <a14:foregroundMark x1="34462" y1="81846" x2="34462" y2="81846"/>
                      <a14:foregroundMark x1="49231" y1="16308" x2="49231" y2="16308"/>
                      <a14:foregroundMark x1="52615" y1="16923" x2="52615" y2="16923"/>
                      <a14:foregroundMark x1="51385" y1="17538" x2="51385" y2="17538"/>
                    </a14:backgroundRemoval>
                  </a14:imgEffect>
                </a14:imgLayer>
              </a14:imgProps>
            </a:ext>
            <a:ext uri="{28A0092B-C50C-407E-A947-70E740481C1C}">
              <a14:useLocalDpi xmlns:a14="http://schemas.microsoft.com/office/drawing/2010/main" val="0"/>
            </a:ext>
          </a:extLst>
        </a:blip>
        <a:srcRect t="16282" r="3390" b="11401"/>
        <a:stretch>
          <a:fillRect/>
        </a:stretch>
      </xdr:blipFill>
      <xdr:spPr>
        <a:xfrm>
          <a:off x="124543" y="281940"/>
          <a:ext cx="794855" cy="67818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220376</xdr:colOff>
      <xdr:row>19</xdr:row>
      <xdr:rowOff>7428</xdr:rowOff>
    </xdr:from>
    <xdr:to>
      <xdr:col>0</xdr:col>
      <xdr:colOff>859937</xdr:colOff>
      <xdr:row>22</xdr:row>
      <xdr:rowOff>98349</xdr:rowOff>
    </xdr:to>
    <xdr:pic>
      <xdr:nvPicPr>
        <xdr:cNvPr id="2" name="Graphic 1" descr="Database with solid fill">
          <a:hlinkClick xmlns:r="http://schemas.openxmlformats.org/officeDocument/2006/relationships" r:id="rId1"/>
          <a:extLst>
            <a:ext uri="{FF2B5EF4-FFF2-40B4-BE49-F238E27FC236}">
              <a16:creationId xmlns:a16="http://schemas.microsoft.com/office/drawing/2014/main" id="{C35A22DA-F5C8-49D4-B9C6-01C4252F470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0376" y="3482148"/>
          <a:ext cx="639561" cy="639561"/>
        </a:xfrm>
        <a:prstGeom prst="rect">
          <a:avLst/>
        </a:prstGeom>
      </xdr:spPr>
    </xdr:pic>
    <xdr:clientData/>
  </xdr:twoCellAnchor>
  <xdr:twoCellAnchor editAs="oneCell">
    <xdr:from>
      <xdr:col>0</xdr:col>
      <xdr:colOff>196392</xdr:colOff>
      <xdr:row>7</xdr:row>
      <xdr:rowOff>53190</xdr:rowOff>
    </xdr:from>
    <xdr:to>
      <xdr:col>0</xdr:col>
      <xdr:colOff>883920</xdr:colOff>
      <xdr:row>11</xdr:row>
      <xdr:rowOff>9198</xdr:rowOff>
    </xdr:to>
    <xdr:pic>
      <xdr:nvPicPr>
        <xdr:cNvPr id="3" name="Graphic 2" descr="Pie chart with solid fill">
          <a:hlinkClick xmlns:r="http://schemas.openxmlformats.org/officeDocument/2006/relationships" r:id="rId4"/>
          <a:extLst>
            <a:ext uri="{FF2B5EF4-FFF2-40B4-BE49-F238E27FC236}">
              <a16:creationId xmlns:a16="http://schemas.microsoft.com/office/drawing/2014/main" id="{0700A1AD-D469-4151-A5B8-B676CE6243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392" y="1333350"/>
          <a:ext cx="687528" cy="687528"/>
        </a:xfrm>
        <a:prstGeom prst="rect">
          <a:avLst/>
        </a:prstGeom>
      </xdr:spPr>
    </xdr:pic>
    <xdr:clientData/>
  </xdr:twoCellAnchor>
  <xdr:twoCellAnchor editAs="oneCell">
    <xdr:from>
      <xdr:col>0</xdr:col>
      <xdr:colOff>220376</xdr:colOff>
      <xdr:row>13</xdr:row>
      <xdr:rowOff>54293</xdr:rowOff>
    </xdr:from>
    <xdr:to>
      <xdr:col>0</xdr:col>
      <xdr:colOff>859937</xdr:colOff>
      <xdr:row>16</xdr:row>
      <xdr:rowOff>145214</xdr:rowOff>
    </xdr:to>
    <xdr:pic>
      <xdr:nvPicPr>
        <xdr:cNvPr id="4" name="Graphic 3" descr="Mathematics with solid fill">
          <a:hlinkClick xmlns:r="http://schemas.openxmlformats.org/officeDocument/2006/relationships" r:id="rId7"/>
          <a:extLst>
            <a:ext uri="{FF2B5EF4-FFF2-40B4-BE49-F238E27FC236}">
              <a16:creationId xmlns:a16="http://schemas.microsoft.com/office/drawing/2014/main" id="{B7C045E6-6804-4C88-89EE-D42E2FDD210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0376" y="2431733"/>
          <a:ext cx="639561" cy="639561"/>
        </a:xfrm>
        <a:prstGeom prst="rect">
          <a:avLst/>
        </a:prstGeom>
      </xdr:spPr>
    </xdr:pic>
    <xdr:clientData/>
  </xdr:twoCellAnchor>
  <xdr:twoCellAnchor editAs="oneCell">
    <xdr:from>
      <xdr:col>0</xdr:col>
      <xdr:colOff>124543</xdr:colOff>
      <xdr:row>1</xdr:row>
      <xdr:rowOff>99060</xdr:rowOff>
    </xdr:from>
    <xdr:to>
      <xdr:col>0</xdr:col>
      <xdr:colOff>919398</xdr:colOff>
      <xdr:row>5</xdr:row>
      <xdr:rowOff>45720</xdr:rowOff>
    </xdr:to>
    <xdr:pic>
      <xdr:nvPicPr>
        <xdr:cNvPr id="5" name="Picture 4">
          <a:extLst>
            <a:ext uri="{FF2B5EF4-FFF2-40B4-BE49-F238E27FC236}">
              <a16:creationId xmlns:a16="http://schemas.microsoft.com/office/drawing/2014/main" id="{06FBEBF0-C9BE-49B9-8ECC-3292FF27AC7F}"/>
            </a:ext>
          </a:extLst>
        </xdr:cNvPr>
        <xdr:cNvPicPr>
          <a:picLocks noChangeAspect="1"/>
        </xdr:cNvPicPr>
      </xdr:nvPicPr>
      <xdr:blipFill rotWithShape="1">
        <a:blip xmlns:r="http://schemas.openxmlformats.org/officeDocument/2006/relationships" r:embed="rId10" cstate="print">
          <a:duotone>
            <a:schemeClr val="accent1">
              <a:shade val="45000"/>
              <a:satMod val="135000"/>
            </a:schemeClr>
            <a:prstClr val="white"/>
          </a:duotone>
          <a:extLst>
            <a:ext uri="{BEBA8EAE-BF5A-486C-A8C5-ECC9F3942E4B}">
              <a14:imgProps xmlns:a14="http://schemas.microsoft.com/office/drawing/2010/main">
                <a14:imgLayer r:embed="rId11">
                  <a14:imgEffect>
                    <a14:backgroundRemoval t="16308" b="83077" l="4308" r="93538">
                      <a14:foregroundMark x1="34462" y1="36000" x2="52000" y2="52923"/>
                      <a14:foregroundMark x1="39692" y1="33846" x2="60308" y2="57538"/>
                      <a14:foregroundMark x1="53231" y1="45538" x2="71077" y2="64308"/>
                      <a14:foregroundMark x1="61538" y1="45538" x2="75692" y2="56308"/>
                      <a14:foregroundMark x1="66154" y1="44000" x2="79692" y2="56923"/>
                      <a14:foregroundMark x1="67692" y1="36615" x2="85231" y2="52000"/>
                      <a14:foregroundMark x1="81846" y1="45538" x2="73538" y2="64923"/>
                      <a14:foregroundMark x1="79692" y1="50769" x2="53231" y2="72308"/>
                      <a14:foregroundMark x1="77538" y1="50769" x2="53538" y2="73231"/>
                      <a14:foregroundMark x1="72308" y1="67077" x2="62769" y2="68308"/>
                      <a14:foregroundMark x1="69538" y1="67692" x2="50154" y2="67692"/>
                      <a14:foregroundMark x1="43385" y1="59077" x2="43385" y2="59077"/>
                      <a14:foregroundMark x1="47385" y1="59692" x2="47385" y2="59692"/>
                      <a14:foregroundMark x1="53538" y1="59692" x2="53538" y2="59692"/>
                      <a14:foregroundMark x1="54154" y1="57538" x2="54154" y2="57538"/>
                      <a14:foregroundMark x1="72308" y1="21231" x2="72308" y2="21231"/>
                      <a14:foregroundMark x1="74154" y1="21846" x2="74154" y2="21846"/>
                      <a14:foregroundMark x1="76923" y1="21846" x2="76923" y2="21846"/>
                      <a14:foregroundMark x1="70154" y1="20308" x2="70154" y2="20308"/>
                      <a14:foregroundMark x1="67692" y1="20308" x2="67692" y2="20308"/>
                      <a14:foregroundMark x1="64308" y1="20308" x2="64308" y2="20308"/>
                      <a14:foregroundMark x1="62769" y1="20308" x2="62769" y2="20308"/>
                      <a14:foregroundMark x1="60308" y1="19692" x2="60308" y2="19692"/>
                      <a14:foregroundMark x1="58154" y1="19692" x2="58154" y2="19692"/>
                      <a14:foregroundMark x1="54769" y1="17846" x2="54769" y2="17846"/>
                      <a14:foregroundMark x1="49846" y1="18462" x2="49846" y2="18462"/>
                      <a14:foregroundMark x1="43385" y1="19077" x2="43385" y2="19077"/>
                      <a14:foregroundMark x1="37231" y1="21846" x2="37231" y2="21846"/>
                      <a14:foregroundMark x1="36615" y1="20308" x2="36615" y2="20308"/>
                      <a14:foregroundMark x1="39077" y1="18462" x2="39077" y2="18462"/>
                      <a14:foregroundMark x1="33231" y1="20308" x2="33231" y2="20308"/>
                      <a14:foregroundMark x1="29231" y1="20308" x2="29231" y2="20308"/>
                      <a14:foregroundMark x1="23692" y1="21846" x2="23692" y2="21846"/>
                      <a14:foregroundMark x1="17538" y1="24615" x2="17538" y2="24615"/>
                      <a14:foregroundMark x1="12308" y1="27077" x2="12308" y2="27077"/>
                      <a14:foregroundMark x1="8615" y1="30462" x2="8615" y2="30462"/>
                      <a14:foregroundMark x1="8615" y1="34462" x2="8615" y2="34462"/>
                      <a14:foregroundMark x1="4615" y1="40615" x2="4615" y2="40615"/>
                      <a14:foregroundMark x1="6154" y1="39385" x2="6154" y2="39385"/>
                      <a14:foregroundMark x1="6769" y1="42769" x2="6769" y2="42769"/>
                      <a14:foregroundMark x1="5538" y1="48923" x2="5538" y2="48923"/>
                      <a14:foregroundMark x1="6154" y1="52308" x2="6154" y2="52308"/>
                      <a14:foregroundMark x1="5231" y1="48615" x2="5231" y2="48615"/>
                      <a14:foregroundMark x1="7385" y1="50769" x2="8000" y2="52308"/>
                      <a14:foregroundMark x1="49231" y1="17538" x2="49231" y2="17538"/>
                      <a14:foregroundMark x1="50769" y1="16923" x2="50769" y2="16923"/>
                      <a14:foregroundMark x1="50769" y1="16308" x2="50769" y2="16308"/>
                      <a14:foregroundMark x1="70154" y1="17538" x2="70154" y2="17538"/>
                      <a14:foregroundMark x1="75692" y1="20923" x2="75692" y2="20923"/>
                      <a14:foregroundMark x1="81231" y1="24308" x2="81231" y2="24308"/>
                      <a14:foregroundMark x1="85846" y1="28615" x2="85846" y2="28615"/>
                      <a14:foregroundMark x1="84308" y1="25231" x2="84308" y2="25231"/>
                      <a14:foregroundMark x1="88615" y1="29231" x2="88615" y2="29231"/>
                      <a14:foregroundMark x1="91077" y1="36000" x2="91077" y2="36000"/>
                      <a14:foregroundMark x1="93846" y1="40000" x2="93846" y2="40000"/>
                      <a14:foregroundMark x1="92615" y1="46769" x2="92615" y2="46769"/>
                      <a14:foregroundMark x1="91385" y1="53538" x2="89846" y2="53538"/>
                      <a14:foregroundMark x1="92000" y1="55692" x2="92000" y2="55692"/>
                      <a14:foregroundMark x1="91077" y1="61538" x2="91077" y2="61538"/>
                      <a14:foregroundMark x1="87077" y1="64923" x2="87077" y2="64923"/>
                      <a14:foregroundMark x1="82462" y1="71077" x2="84308" y2="71077"/>
                      <a14:foregroundMark x1="78462" y1="75692" x2="78462" y2="75692"/>
                      <a14:foregroundMark x1="75692" y1="76308" x2="75692" y2="76308"/>
                      <a14:foregroundMark x1="68308" y1="79692" x2="68308" y2="79692"/>
                      <a14:foregroundMark x1="62769" y1="81231" x2="62769" y2="81231"/>
                      <a14:foregroundMark x1="56923" y1="81231" x2="59385" y2="81231"/>
                      <a14:foregroundMark x1="51385" y1="81231" x2="51385" y2="81231"/>
                      <a14:foregroundMark x1="48615" y1="81231" x2="48615" y2="81231"/>
                      <a14:foregroundMark x1="45231" y1="83077" x2="45231" y2="83077"/>
                      <a14:foregroundMark x1="37231" y1="82462" x2="37231" y2="82462"/>
                      <a14:foregroundMark x1="41846" y1="80615" x2="41846" y2="80615"/>
                      <a14:foregroundMark x1="36308" y1="79692" x2="36308" y2="79692"/>
                      <a14:foregroundMark x1="31692" y1="79692" x2="31692" y2="79692"/>
                      <a14:foregroundMark x1="25846" y1="78462" x2="28923" y2="77846"/>
                      <a14:foregroundMark x1="22154" y1="75692" x2="22154" y2="75692"/>
                      <a14:foregroundMark x1="18154" y1="73231" x2="18154" y2="73231"/>
                      <a14:foregroundMark x1="15385" y1="68923" x2="15385" y2="68923"/>
                      <a14:foregroundMark x1="12308" y1="65538" x2="12308" y2="65538"/>
                      <a14:foregroundMark x1="31077" y1="47385" x2="31077" y2="47385"/>
                      <a14:foregroundMark x1="37231" y1="41846" x2="44615" y2="78769"/>
                      <a14:foregroundMark x1="44615" y1="78769" x2="15385" y2="50154"/>
                      <a14:foregroundMark x1="15385" y1="50154" x2="51385" y2="67692"/>
                      <a14:foregroundMark x1="51385" y1="67692" x2="50769" y2="71692"/>
                      <a14:foregroundMark x1="15692" y1="48923" x2="32615" y2="51385"/>
                      <a14:foregroundMark x1="21538" y1="31385" x2="21538" y2="31385"/>
                      <a14:foregroundMark x1="26462" y1="35077" x2="26462" y2="35077"/>
                      <a14:foregroundMark x1="31692" y1="30462" x2="31692" y2="30462"/>
                      <a14:foregroundMark x1="33846" y1="31385" x2="33846" y2="31385"/>
                      <a14:foregroundMark x1="43077" y1="32000" x2="43077" y2="32000"/>
                      <a14:foregroundMark x1="42462" y1="33231" x2="42462" y2="33231"/>
                      <a14:foregroundMark x1="51385" y1="32000" x2="51385" y2="32000"/>
                      <a14:foregroundMark x1="51385" y1="30462" x2="51385" y2="30462"/>
                      <a14:foregroundMark x1="56000" y1="31077" x2="56000" y2="31077"/>
                      <a14:foregroundMark x1="64923" y1="31077" x2="64923" y2="31077"/>
                      <a14:foregroundMark x1="65538" y1="29231" x2="65538" y2="29231"/>
                      <a14:foregroundMark x1="72923" y1="32000" x2="72923" y2="32000"/>
                      <a14:foregroundMark x1="34462" y1="81846" x2="34462" y2="81846"/>
                      <a14:foregroundMark x1="49231" y1="16308" x2="49231" y2="16308"/>
                      <a14:foregroundMark x1="52615" y1="16923" x2="52615" y2="16923"/>
                      <a14:foregroundMark x1="51385" y1="17538" x2="51385" y2="17538"/>
                    </a14:backgroundRemoval>
                  </a14:imgEffect>
                </a14:imgLayer>
              </a14:imgProps>
            </a:ext>
            <a:ext uri="{28A0092B-C50C-407E-A947-70E740481C1C}">
              <a14:useLocalDpi xmlns:a14="http://schemas.microsoft.com/office/drawing/2010/main" val="0"/>
            </a:ext>
          </a:extLst>
        </a:blip>
        <a:srcRect t="16282" r="3390" b="11401"/>
        <a:stretch>
          <a:fillRect/>
        </a:stretch>
      </xdr:blipFill>
      <xdr:spPr>
        <a:xfrm>
          <a:off x="124543" y="281940"/>
          <a:ext cx="794855" cy="678180"/>
        </a:xfrm>
        <a:prstGeom prst="rect">
          <a:avLst/>
        </a:prstGeom>
        <a:ln>
          <a:noFill/>
        </a:ln>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rajora" refreshedDate="46008.917460763892" createdVersion="8" refreshedVersion="8" minRefreshableVersion="3" recordCount="1000" xr:uid="{111281EC-0E41-431B-A049-6A9CC3B44BDD}">
  <cacheSource type="worksheet">
    <worksheetSource name="Table1"/>
  </cacheSource>
  <cacheFields count="13">
    <cacheField name="Date" numFmtId="14">
      <sharedItems containsSemiMixedTypes="0" containsNonDate="0" containsDate="1" containsString="0" minDate="2024-01-03T00:00:00" maxDate="2025-12-31T00:00:00" count="545">
        <d v="2025-12-30T00:00:00"/>
        <d v="2025-12-29T00:00:00"/>
        <d v="2025-12-28T00:00:00"/>
        <d v="2025-12-27T00:00:00"/>
        <d v="2025-12-26T00:00:00"/>
        <d v="2025-12-25T00:00:00"/>
        <d v="2025-12-24T00:00:00"/>
        <d v="2025-12-23T00:00:00"/>
        <d v="2025-12-21T00:00:00"/>
        <d v="2025-12-20T00:00:00"/>
        <d v="2025-12-19T00:00:00"/>
        <d v="2025-12-18T00:00:00"/>
        <d v="2025-12-17T00:00:00"/>
        <d v="2025-12-16T00:00:00"/>
        <d v="2025-12-13T00:00:00"/>
        <d v="2025-12-12T00:00:00"/>
        <d v="2025-12-11T00:00:00"/>
        <d v="2025-12-09T00:00:00"/>
        <d v="2025-12-08T00:00:00"/>
        <d v="2025-12-07T00:00:00"/>
        <d v="2025-12-06T00:00:00"/>
        <d v="2025-12-05T00:00:00"/>
        <d v="2025-12-03T00:00:00"/>
        <d v="2025-12-01T00:00:00"/>
        <d v="2025-11-30T00:00:00"/>
        <d v="2025-11-28T00:00:00"/>
        <d v="2025-11-27T00:00:00"/>
        <d v="2025-11-24T00:00:00"/>
        <d v="2025-11-21T00:00:00"/>
        <d v="2025-11-20T00:00:00"/>
        <d v="2025-11-19T00:00:00"/>
        <d v="2025-11-18T00:00:00"/>
        <d v="2025-11-17T00:00:00"/>
        <d v="2025-11-16T00:00:00"/>
        <d v="2025-11-15T00:00:00"/>
        <d v="2025-11-14T00:00:00"/>
        <d v="2025-11-12T00:00:00"/>
        <d v="2025-11-11T00:00:00"/>
        <d v="2025-11-09T00:00:00"/>
        <d v="2025-11-08T00:00:00"/>
        <d v="2025-11-06T00:00:00"/>
        <d v="2025-11-03T00:00:00"/>
        <d v="2025-11-02T00:00:00"/>
        <d v="2025-11-01T00:00:00"/>
        <d v="2025-10-30T00:00:00"/>
        <d v="2025-10-28T00:00:00"/>
        <d v="2025-10-27T00:00:00"/>
        <d v="2025-10-26T00:00:00"/>
        <d v="2025-10-25T00:00:00"/>
        <d v="2025-10-21T00:00:00"/>
        <d v="2025-10-20T00:00:00"/>
        <d v="2025-10-19T00:00:00"/>
        <d v="2025-10-18T00:00:00"/>
        <d v="2025-10-17T00:00:00"/>
        <d v="2025-10-16T00:00:00"/>
        <d v="2025-10-15T00:00:00"/>
        <d v="2025-10-14T00:00:00"/>
        <d v="2025-10-13T00:00:00"/>
        <d v="2025-10-12T00:00:00"/>
        <d v="2025-10-10T00:00:00"/>
        <d v="2025-10-09T00:00:00"/>
        <d v="2025-10-08T00:00:00"/>
        <d v="2025-10-07T00:00:00"/>
        <d v="2025-10-06T00:00:00"/>
        <d v="2025-10-05T00:00:00"/>
        <d v="2025-10-01T00:00:00"/>
        <d v="2025-09-30T00:00:00"/>
        <d v="2025-09-29T00:00:00"/>
        <d v="2025-09-28T00:00:00"/>
        <d v="2025-09-27T00:00:00"/>
        <d v="2025-09-22T00:00:00"/>
        <d v="2025-09-21T00:00:00"/>
        <d v="2025-09-20T00:00:00"/>
        <d v="2025-09-18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1T00:00:00"/>
        <d v="2025-08-30T00:00:00"/>
        <d v="2025-08-29T00:00:00"/>
        <d v="2025-08-28T00:00:00"/>
        <d v="2025-08-26T00:00:00"/>
        <d v="2025-08-25T00:00:00"/>
        <d v="2025-08-23T00:00:00"/>
        <d v="2025-08-22T00:00:00"/>
        <d v="2025-08-20T00:00:00"/>
        <d v="2025-08-19T00:00:00"/>
        <d v="2025-08-18T00:00:00"/>
        <d v="2025-08-16T00:00:00"/>
        <d v="2025-08-14T00:00:00"/>
        <d v="2025-08-12T00:00:00"/>
        <d v="2025-08-11T00:00:00"/>
        <d v="2025-08-09T00:00:00"/>
        <d v="2025-08-08T00:00:00"/>
        <d v="2025-08-06T00:00:00"/>
        <d v="2025-08-05T00:00:00"/>
        <d v="2025-08-04T00:00:00"/>
        <d v="2025-08-02T00:00:00"/>
        <d v="2025-08-01T00:00:00"/>
        <d v="2025-07-30T00:00:00"/>
        <d v="2025-07-29T00:00:00"/>
        <d v="2025-07-28T00:00:00"/>
        <d v="2025-07-27T00:00:00"/>
        <d v="2025-07-26T00:00:00"/>
        <d v="2025-07-25T00:00:00"/>
        <d v="2025-07-24T00:00:00"/>
        <d v="2025-07-23T00:00:00"/>
        <d v="2025-07-22T00:00:00"/>
        <d v="2025-07-21T00:00:00"/>
        <d v="2025-07-19T00:00:00"/>
        <d v="2025-07-18T00:00:00"/>
        <d v="2025-07-16T00:00:00"/>
        <d v="2025-07-15T00:00:00"/>
        <d v="2025-07-14T00:00:00"/>
        <d v="2025-07-11T00:00:00"/>
        <d v="2025-07-08T00:00:00"/>
        <d v="2025-07-07T00:00:00"/>
        <d v="2025-07-06T00:00:00"/>
        <d v="2025-07-04T00:00:00"/>
        <d v="2025-07-02T00:00:00"/>
        <d v="2025-07-01T00:00:00"/>
        <d v="2025-06-30T00:00:00"/>
        <d v="2025-06-28T00:00:00"/>
        <d v="2025-06-27T00:00:00"/>
        <d v="2025-06-26T00:00:00"/>
        <d v="2025-06-24T00:00:00"/>
        <d v="2025-06-23T00:00:00"/>
        <d v="2025-06-22T00:00:00"/>
        <d v="2025-06-21T00:00:00"/>
        <d v="2025-06-20T00:00:00"/>
        <d v="2025-06-19T00:00:00"/>
        <d v="2025-06-18T00:00:00"/>
        <d v="2025-06-17T00:00:00"/>
        <d v="2025-06-16T00:00:00"/>
        <d v="2025-06-15T00:00:00"/>
        <d v="2025-06-14T00:00:00"/>
        <d v="2025-06-13T00:00:00"/>
        <d v="2025-06-12T00:00:00"/>
        <d v="2025-06-10T00:00:00"/>
        <d v="2025-06-08T00:00:00"/>
        <d v="2025-06-07T00:00:00"/>
        <d v="2025-06-06T00:00:00"/>
        <d v="2025-06-05T00:00:00"/>
        <d v="2025-06-04T00:00:00"/>
        <d v="2025-06-02T00:00:00"/>
        <d v="2025-06-01T00:00:00"/>
        <d v="2025-05-31T00:00:00"/>
        <d v="2025-05-30T00:00:00"/>
        <d v="2025-05-28T00:00:00"/>
        <d v="2025-05-27T00:00:00"/>
        <d v="2025-05-25T00:00:00"/>
        <d v="2025-05-24T00:00:00"/>
        <d v="2025-05-23T00:00:00"/>
        <d v="2025-05-20T00:00:00"/>
        <d v="2025-05-18T00:00:00"/>
        <d v="2025-05-17T00:00:00"/>
        <d v="2025-05-16T00:00:00"/>
        <d v="2025-05-15T00:00:00"/>
        <d v="2025-05-14T00:00:00"/>
        <d v="2025-05-13T00:00:00"/>
        <d v="2025-05-12T00:00:00"/>
        <d v="2025-05-11T00:00:00"/>
        <d v="2025-05-10T00:00:00"/>
        <d v="2025-05-09T00:00:00"/>
        <d v="2025-05-06T00:00:00"/>
        <d v="2025-05-05T00:00:00"/>
        <d v="2025-05-04T00:00:00"/>
        <d v="2025-05-03T00:00:00"/>
        <d v="2025-05-02T00:00:00"/>
        <d v="2025-05-01T00:00:00"/>
        <d v="2025-04-30T00:00:00"/>
        <d v="2025-04-28T00:00:00"/>
        <d v="2025-04-27T00:00:00"/>
        <d v="2025-04-26T00:00:00"/>
        <d v="2025-04-25T00:00:00"/>
        <d v="2025-04-23T00:00:00"/>
        <d v="2025-04-22T00:00:00"/>
        <d v="2025-04-21T00:00:00"/>
        <d v="2025-04-20T00:00:00"/>
        <d v="2025-04-18T00:00:00"/>
        <d v="2025-04-17T00:00:00"/>
        <d v="2025-04-16T00:00:00"/>
        <d v="2025-04-15T00:00:00"/>
        <d v="2025-04-13T00:00:00"/>
        <d v="2025-04-12T00:00:00"/>
        <d v="2025-04-11T00:00:00"/>
        <d v="2025-04-10T00:00:00"/>
        <d v="2025-04-09T00:00:00"/>
        <d v="2025-04-08T00:00:00"/>
        <d v="2025-04-07T00:00:00"/>
        <d v="2025-04-06T00:00:00"/>
        <d v="2025-04-05T00:00:00"/>
        <d v="2025-04-04T00:00:00"/>
        <d v="2025-04-03T00:00:00"/>
        <d v="2025-04-01T00:00:00"/>
        <d v="2025-03-31T00:00:00"/>
        <d v="2025-03-30T00:00:00"/>
        <d v="2025-03-29T00:00:00"/>
        <d v="2025-03-28T00:00:00"/>
        <d v="2025-03-27T00:00:00"/>
        <d v="2025-03-26T00:00:00"/>
        <d v="2025-03-24T00:00:00"/>
        <d v="2025-03-23T00:00:00"/>
        <d v="2025-03-22T00:00:00"/>
        <d v="2025-03-21T00:00:00"/>
        <d v="2025-03-20T00:00:00"/>
        <d v="2025-03-19T00:00:00"/>
        <d v="2025-03-16T00:00:00"/>
        <d v="2025-03-14T00:00:00"/>
        <d v="2025-03-13T00:00:00"/>
        <d v="2025-03-12T00:00:00"/>
        <d v="2025-03-11T00:00:00"/>
        <d v="2025-03-10T00:00:00"/>
        <d v="2025-03-09T00:00:00"/>
        <d v="2025-03-08T00:00:00"/>
        <d v="2025-03-07T00:00:00"/>
        <d v="2025-03-06T00:00:00"/>
        <d v="2025-03-04T00:00:00"/>
        <d v="2025-03-03T00:00:00"/>
        <d v="2025-03-02T00:00:00"/>
        <d v="2025-03-01T00:00:00"/>
        <d v="2025-02-28T00:00:00"/>
        <d v="2025-02-27T00:00:00"/>
        <d v="2025-02-23T00:00:00"/>
        <d v="2025-02-22T00:00:00"/>
        <d v="2025-02-19T00:00:00"/>
        <d v="2025-02-18T00:00:00"/>
        <d v="2025-02-17T00:00:00"/>
        <d v="2025-02-16T00:00:00"/>
        <d v="2025-02-15T00:00:00"/>
        <d v="2025-02-12T00:00:00"/>
        <d v="2025-02-11T00:00:00"/>
        <d v="2025-02-10T00:00:00"/>
        <d v="2025-02-09T00:00:00"/>
        <d v="2025-02-06T00:00:00"/>
        <d v="2025-02-05T00:00:00"/>
        <d v="2025-02-03T00:00:00"/>
        <d v="2025-01-31T00:00:00"/>
        <d v="2025-01-30T00:00:00"/>
        <d v="2025-01-29T00:00:00"/>
        <d v="2025-01-28T00:00:00"/>
        <d v="2025-01-27T00:00:00"/>
        <d v="2025-01-26T00:00:00"/>
        <d v="2025-01-25T00:00:00"/>
        <d v="2025-01-24T00:00:00"/>
        <d v="2025-01-23T00:00:00"/>
        <d v="2025-01-22T00:00:00"/>
        <d v="2025-01-21T00:00:00"/>
        <d v="2025-01-19T00:00:00"/>
        <d v="2025-01-18T00:00:00"/>
        <d v="2025-01-17T00:00:00"/>
        <d v="2025-01-16T00:00:00"/>
        <d v="2025-01-14T00:00:00"/>
        <d v="2025-01-13T00:00:00"/>
        <d v="2025-01-12T00:00:00"/>
        <d v="2025-01-11T00:00:00"/>
        <d v="2025-01-10T00:00:00"/>
        <d v="2025-01-09T00:00:00"/>
        <d v="2025-01-08T00:00:00"/>
        <d v="2025-01-07T00:00:00"/>
        <d v="2025-01-06T00:00:00"/>
        <d v="2025-01-04T00:00:00"/>
        <d v="2025-01-03T00:00:00"/>
        <d v="2025-01-01T00:00:00"/>
        <d v="2024-12-30T00:00:00"/>
        <d v="2024-12-27T00:00:00"/>
        <d v="2024-12-24T00:00:00"/>
        <d v="2024-12-23T00:00:00"/>
        <d v="2024-12-21T00:00:00"/>
        <d v="2024-12-20T00:00:00"/>
        <d v="2024-12-19T00:00:00"/>
        <d v="2024-12-18T00:00:00"/>
        <d v="2024-12-15T00:00:00"/>
        <d v="2024-12-14T00:00:00"/>
        <d v="2024-12-11T00:00:00"/>
        <d v="2024-12-10T00:00:00"/>
        <d v="2024-12-09T00:00:00"/>
        <d v="2024-12-08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0T00:00:00"/>
        <d v="2024-11-19T00:00:00"/>
        <d v="2024-11-18T00:00:00"/>
        <d v="2024-11-16T00:00:00"/>
        <d v="2024-11-15T00:00:00"/>
        <d v="2024-11-14T00:00:00"/>
        <d v="2024-11-13T00:00:00"/>
        <d v="2024-11-11T00:00:00"/>
        <d v="2024-11-09T00:00:00"/>
        <d v="2024-11-08T00:00:00"/>
        <d v="2024-11-06T00:00:00"/>
        <d v="2024-11-05T00:00:00"/>
        <d v="2024-11-04T00:00:00"/>
        <d v="2024-11-03T00:00:00"/>
        <d v="2024-11-01T00:00:00"/>
        <d v="2024-10-31T00:00:00"/>
        <d v="2024-10-27T00:00:00"/>
        <d v="2024-10-26T00:00:00"/>
        <d v="2024-10-25T00:00:00"/>
        <d v="2024-10-24T00:00:00"/>
        <d v="2024-10-23T00:00:00"/>
        <d v="2024-10-20T00:00:00"/>
        <d v="2024-10-19T00:00:00"/>
        <d v="2024-10-17T00:00:00"/>
        <d v="2024-10-16T00:00:00"/>
        <d v="2024-10-15T00:00:00"/>
        <d v="2024-10-14T00:00:00"/>
        <d v="2024-10-13T00:00:00"/>
        <d v="2024-10-12T00:00:00"/>
        <d v="2024-10-11T00:00:00"/>
        <d v="2024-10-10T00:00:00"/>
        <d v="2024-10-09T00:00:00"/>
        <d v="2024-10-08T00:00:00"/>
        <d v="2024-10-06T00:00:00"/>
        <d v="2024-10-04T00:00:00"/>
        <d v="2024-10-01T00:00:00"/>
        <d v="2024-09-29T00:00:00"/>
        <d v="2024-09-27T00:00:00"/>
        <d v="2024-09-26T00:00:00"/>
        <d v="2024-09-25T00:00:00"/>
        <d v="2024-09-23T00:00:00"/>
        <d v="2024-09-21T00:00:00"/>
        <d v="2024-09-20T00:00:00"/>
        <d v="2024-09-19T00:00:00"/>
        <d v="2024-09-18T00:00:00"/>
        <d v="2024-09-17T00:00:00"/>
        <d v="2024-09-16T00:00:00"/>
        <d v="2024-09-13T00:00:00"/>
        <d v="2024-09-11T00:00:00"/>
        <d v="2024-09-10T00:00:00"/>
        <d v="2024-09-09T00:00:00"/>
        <d v="2024-09-07T00:00:00"/>
        <d v="2024-09-06T00:00:00"/>
        <d v="2024-09-05T00:00:00"/>
        <d v="2024-09-04T00:00:00"/>
        <d v="2024-09-03T00:00:00"/>
        <d v="2024-09-01T00:00:00"/>
        <d v="2024-08-31T00:00:00"/>
        <d v="2024-08-29T00:00:00"/>
        <d v="2024-08-28T00:00:00"/>
        <d v="2024-08-27T00:00:00"/>
        <d v="2024-08-26T00:00:00"/>
        <d v="2024-08-25T00:00:00"/>
        <d v="2024-08-24T00:00:00"/>
        <d v="2024-08-23T00:00:00"/>
        <d v="2024-08-20T00:00:00"/>
        <d v="2024-08-19T00:00:00"/>
        <d v="2024-08-18T00:00:00"/>
        <d v="2024-08-17T00:00:00"/>
        <d v="2024-08-16T00:00:00"/>
        <d v="2024-08-15T00:00:00"/>
        <d v="2024-08-13T00:00:00"/>
        <d v="2024-08-12T00:00:00"/>
        <d v="2024-08-11T00:00:00"/>
        <d v="2024-08-09T00:00:00"/>
        <d v="2024-08-08T00:00:00"/>
        <d v="2024-08-07T00:00:00"/>
        <d v="2024-08-06T00:00:00"/>
        <d v="2024-08-05T00:00:00"/>
        <d v="2024-08-04T00:00:00"/>
        <d v="2024-08-03T00:00:00"/>
        <d v="2024-08-02T00:00:00"/>
        <d v="2024-08-01T00:00:00"/>
        <d v="2024-07-31T00:00:00"/>
        <d v="2024-07-29T00:00:00"/>
        <d v="2024-07-28T00:00:00"/>
        <d v="2024-07-27T00:00:00"/>
        <d v="2024-07-26T00:00:00"/>
        <d v="2024-07-25T00:00:00"/>
        <d v="2024-07-24T00:00:00"/>
        <d v="2024-07-23T00:00:00"/>
        <d v="2024-07-21T00:00:00"/>
        <d v="2024-07-19T00:00:00"/>
        <d v="2024-07-18T00:00:00"/>
        <d v="2024-07-17T00:00:00"/>
        <d v="2024-07-16T00:00:00"/>
        <d v="2024-07-15T00:00:00"/>
        <d v="2024-07-14T00:00:00"/>
        <d v="2024-07-13T00:00:00"/>
        <d v="2024-07-12T00:00:00"/>
        <d v="2024-07-08T00:00:00"/>
        <d v="2024-07-07T00:00:00"/>
        <d v="2024-07-06T00:00:00"/>
        <d v="2024-07-05T00:00:00"/>
        <d v="2024-07-04T00:00:00"/>
        <d v="2024-07-03T00:00:00"/>
        <d v="2024-07-02T00:00:00"/>
        <d v="2024-07-01T00:00:00"/>
        <d v="2024-06-30T00:00:00"/>
        <d v="2024-06-29T00:00:00"/>
        <d v="2024-06-28T00:00:00"/>
        <d v="2024-06-27T00:00:00"/>
        <d v="2024-06-25T00:00:00"/>
        <d v="2024-06-24T00:00:00"/>
        <d v="2024-06-23T00:00:00"/>
        <d v="2024-06-22T00:00:00"/>
        <d v="2024-06-21T00:00:00"/>
        <d v="2024-06-20T00:00:00"/>
        <d v="2024-06-19T00:00:00"/>
        <d v="2024-06-17T00:00:00"/>
        <d v="2024-06-13T00:00:00"/>
        <d v="2024-06-11T00:00:00"/>
        <d v="2024-06-09T00:00:00"/>
        <d v="2024-06-06T00:00:00"/>
        <d v="2024-06-05T00:00:00"/>
        <d v="2024-06-03T00:00:00"/>
        <d v="2024-06-02T00:00:00"/>
        <d v="2024-06-01T00:00:00"/>
        <d v="2024-05-31T00:00:00"/>
        <d v="2024-05-28T00:00:00"/>
        <d v="2024-05-26T00:00:00"/>
        <d v="2024-05-24T00:00:00"/>
        <d v="2024-05-23T00:00:00"/>
        <d v="2024-05-22T00:00:00"/>
        <d v="2024-05-21T00:00:00"/>
        <d v="2024-05-18T00:00:00"/>
        <d v="2024-05-17T00:00:00"/>
        <d v="2024-05-16T00:00:00"/>
        <d v="2024-05-15T00:00:00"/>
        <d v="2024-05-14T00:00:00"/>
        <d v="2024-05-13T00:00:00"/>
        <d v="2024-05-11T00:00:00"/>
        <d v="2024-05-10T00:00:00"/>
        <d v="2024-05-09T00:00:00"/>
        <d v="2024-05-07T00:00:00"/>
        <d v="2024-05-06T00:00:00"/>
        <d v="2024-05-05T00:00:00"/>
        <d v="2024-05-03T00:00:00"/>
        <d v="2024-05-01T00:00:00"/>
        <d v="2024-04-28T00:00:00"/>
        <d v="2024-04-27T00:00:00"/>
        <d v="2024-04-26T00:00:00"/>
        <d v="2024-04-25T00:00:00"/>
        <d v="2024-04-24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3-31T00:00:00"/>
        <d v="2024-03-30T00:00:00"/>
        <d v="2024-03-29T00:00:00"/>
        <d v="2024-03-28T00:00:00"/>
        <d v="2024-03-27T00:00:00"/>
        <d v="2024-03-26T00:00:00"/>
        <d v="2024-03-22T00:00:00"/>
        <d v="2024-03-21T00:00:00"/>
        <d v="2024-03-20T00:00:00"/>
        <d v="2024-03-19T00:00:00"/>
        <d v="2024-03-18T00:00:00"/>
        <d v="2024-03-17T00:00:00"/>
        <d v="2024-03-14T00:00:00"/>
        <d v="2024-03-13T00:00:00"/>
        <d v="2024-03-11T00:00:00"/>
        <d v="2024-03-10T00:00:00"/>
        <d v="2024-03-07T00:00:00"/>
        <d v="2024-03-06T00:00:00"/>
        <d v="2024-03-04T00:00:00"/>
        <d v="2024-03-01T00:00:00"/>
        <d v="2024-02-29T00:00:00"/>
        <d v="2024-02-28T00:00:00"/>
        <d v="2024-02-24T00:00:00"/>
        <d v="2024-02-22T00:00:00"/>
        <d v="2024-02-20T00:00:00"/>
        <d v="2024-02-19T00:00:00"/>
        <d v="2024-02-18T00:00:00"/>
        <d v="2024-02-17T00:00:00"/>
        <d v="2024-02-16T00:00:00"/>
        <d v="2024-02-15T00:00:00"/>
        <d v="2024-02-14T00:00:00"/>
        <d v="2024-02-13T00:00:00"/>
        <d v="2024-02-11T00:00:00"/>
        <d v="2024-02-10T00:00:00"/>
        <d v="2024-02-09T00:00:00"/>
        <d v="2024-02-08T00:00:00"/>
        <d v="2024-02-07T00:00:00"/>
        <d v="2024-02-05T00:00:00"/>
        <d v="2024-02-04T00:00:00"/>
        <d v="2024-02-03T00:00:00"/>
        <d v="2024-02-02T00:00:00"/>
        <d v="2024-02-01T00:00:00"/>
        <d v="2024-01-28T00:00:00"/>
        <d v="2024-01-27T00:00:00"/>
        <d v="2024-01-26T00:00:00"/>
        <d v="2024-01-25T00:00:00"/>
        <d v="2024-01-23T00:00:00"/>
        <d v="2024-01-22T00:00:00"/>
        <d v="2024-01-20T00:00:00"/>
        <d v="2024-01-19T00:00:00"/>
        <d v="2024-01-18T00:00:00"/>
        <d v="2024-01-17T00:00:00"/>
        <d v="2024-01-16T00:00:00"/>
        <d v="2024-01-15T00:00:00"/>
        <d v="2024-01-13T00:00:00"/>
        <d v="2024-01-12T00:00:00"/>
        <d v="2024-01-11T00:00:00"/>
        <d v="2024-01-10T00:00:00"/>
        <d v="2024-01-09T00:00:00"/>
        <d v="2024-01-08T00:00:00"/>
        <d v="2024-01-07T00:00:00"/>
        <d v="2024-01-05T00:00:00"/>
        <d v="2024-01-03T00:00:00"/>
      </sharedItems>
      <fieldGroup par="11"/>
    </cacheField>
    <cacheField name="Sales Persons" numFmtId="14">
      <sharedItems count="20">
        <s v="Suresh Menon"/>
        <s v="Anand Bakshi"/>
        <s v="Nithin Rao"/>
        <s v="Preeti Saini"/>
        <s v="Geeta Bali"/>
        <s v="Praveen Shetty"/>
        <s v="Rohan Chatterjee"/>
        <s v="Manish Agarwal"/>
        <s v="Varun Kapoor"/>
        <s v="Alok Joshi"/>
        <s v="Vivek Bansal"/>
        <s v="Swati Pandey"/>
        <s v="Shweta Bhatia"/>
        <s v="Kiran Rao"/>
        <s v="Vishal Saxena"/>
        <s v="Divya Khurana"/>
        <s v="Sandeep Kaur"/>
        <s v="Rakesh Yadav"/>
        <s v="Harsh Goel"/>
        <s v="Tarun Jain"/>
      </sharedItems>
    </cacheField>
    <cacheField name="Product" numFmtId="0">
      <sharedItems count="10">
        <s v="Nestle Maxibon Cookie"/>
        <s v="Nestle Rowntree Fruit Pastil"/>
        <s v="Nestle Fab"/>
        <s v="Nestle Smarties Pop-Up"/>
        <s v="Nestle Nobby Bobby"/>
        <s v="Nestle Milky Bar Stick"/>
        <s v="Nestle Rolo Potz"/>
        <s v="Nestle Kit Kat Cone"/>
        <s v="Nestle Toffee Crumble"/>
        <s v="Nestle Aero Mint Potz"/>
      </sharedItems>
    </cacheField>
    <cacheField name="Customers Names" numFmtId="0">
      <sharedItems count="20">
        <s v="Amit Sharma"/>
        <s v="Manoj Tiwari"/>
        <s v="Aditya Mishra"/>
        <s v="Sonal Saxena"/>
        <s v="Deepak Chopra"/>
        <s v="Rahul Singh"/>
        <s v="Meera Kulkarni"/>
        <s v="Arjun Malhotra"/>
        <s v="Neha Desai"/>
        <s v="Riya Nair"/>
        <s v="Kavita Joshi"/>
        <s v="Rajesh Kumar"/>
        <s v="Sanjay Mehta"/>
        <s v="Pooja Iyer"/>
        <s v="Karthik Gowda"/>
        <s v="Priya Patel"/>
        <s v="Sneha Gupta"/>
        <s v="Ravi Pillai"/>
        <s v="Anjali Verma"/>
        <s v="Vikram Reddy"/>
      </sharedItems>
    </cacheField>
    <cacheField name="Units" numFmtId="0">
      <sharedItems containsSemiMixedTypes="0" containsString="0" containsNumber="1" containsInteger="1" minValue="10" maxValue="50" count="41">
        <n v="19"/>
        <n v="50"/>
        <n v="29"/>
        <n v="13"/>
        <n v="28"/>
        <n v="35"/>
        <n v="32"/>
        <n v="37"/>
        <n v="10"/>
        <n v="21"/>
        <n v="42"/>
        <n v="38"/>
        <n v="33"/>
        <n v="41"/>
        <n v="34"/>
        <n v="36"/>
        <n v="22"/>
        <n v="30"/>
        <n v="43"/>
        <n v="11"/>
        <n v="46"/>
        <n v="49"/>
        <n v="26"/>
        <n v="45"/>
        <n v="31"/>
        <n v="18"/>
        <n v="15"/>
        <n v="47"/>
        <n v="25"/>
        <n v="20"/>
        <n v="12"/>
        <n v="17"/>
        <n v="16"/>
        <n v="27"/>
        <n v="14"/>
        <n v="23"/>
        <n v="40"/>
        <n v="44"/>
        <n v="39"/>
        <n v="48"/>
        <n v="24"/>
      </sharedItems>
    </cacheField>
    <cacheField name="Price" numFmtId="0">
      <sharedItems containsSemiMixedTypes="0" containsString="0" containsNumber="1" containsInteger="1" minValue="200" maxValue="500"/>
    </cacheField>
    <cacheField name="Total Sale" numFmtId="0">
      <sharedItems containsSemiMixedTypes="0" containsString="0" containsNumber="1" containsInteger="1" minValue="2290" maxValue="23700" count="901">
        <n v="5491"/>
        <n v="12400"/>
        <n v="10237"/>
        <n v="6110"/>
        <n v="6888"/>
        <n v="6517"/>
        <n v="13685"/>
        <n v="13152"/>
        <n v="11359"/>
        <n v="6656"/>
        <n v="2290"/>
        <n v="7707"/>
        <n v="19992"/>
        <n v="12008"/>
        <n v="15477"/>
        <n v="6409"/>
        <n v="14760"/>
        <n v="13974"/>
        <n v="9553"/>
        <n v="8064"/>
        <n v="10978"/>
        <n v="8584"/>
        <n v="10200"/>
        <n v="11340"/>
        <n v="13416"/>
        <n v="4521"/>
        <n v="13432"/>
        <n v="16100"/>
        <n v="16072"/>
        <n v="3102"/>
        <n v="12220"/>
        <n v="15012"/>
        <n v="8018"/>
        <n v="12735"/>
        <n v="7967"/>
        <n v="6622"/>
        <n v="10447"/>
        <n v="16350"/>
        <n v="7626"/>
        <n v="2519"/>
        <n v="10290"/>
        <n v="9485"/>
        <n v="18124"/>
        <n v="10479"/>
        <n v="23471"/>
        <n v="2321"/>
        <n v="13175"/>
        <n v="21600"/>
        <n v="6354"/>
        <n v="7200"/>
        <n v="8265"/>
        <n v="4972"/>
        <n v="15820"/>
        <n v="8917"/>
        <n v="15980"/>
        <n v="16950"/>
        <n v="9675"/>
        <n v="22231"/>
        <n v="2880"/>
        <n v="8673"/>
        <n v="7820"/>
        <n v="4026"/>
        <n v="16544"/>
        <n v="5975"/>
        <n v="12956"/>
        <n v="7236"/>
        <n v="12510"/>
        <n v="20286"/>
        <n v="14508"/>
        <n v="5136"/>
        <n v="8766"/>
        <n v="7786"/>
        <n v="6174"/>
        <n v="4063"/>
        <n v="3776"/>
        <n v="10032"/>
        <n v="6669"/>
        <n v="10080"/>
        <n v="11925"/>
        <n v="4930"/>
        <n v="3094"/>
        <n v="11086"/>
        <n v="14832"/>
        <n v="4807"/>
        <n v="4130"/>
        <n v="4048"/>
        <n v="3122"/>
        <n v="12012"/>
        <n v="7163"/>
        <n v="5304"/>
        <n v="2629"/>
        <n v="17015"/>
        <n v="8046"/>
        <n v="15437"/>
        <n v="13895"/>
        <n v="7751"/>
        <n v="7128"/>
        <n v="7712"/>
        <n v="5656"/>
        <n v="6240"/>
        <n v="19520"/>
        <n v="6944"/>
        <n v="11180"/>
        <n v="16016"/>
        <n v="21750"/>
        <n v="3620"/>
        <n v="13440"/>
        <n v="8556"/>
        <n v="15288"/>
        <n v="5208"/>
        <n v="12736"/>
        <n v="7440"/>
        <n v="11790"/>
        <n v="9405"/>
        <n v="18900"/>
        <n v="12348"/>
        <n v="15312"/>
        <n v="7224"/>
        <n v="15648"/>
        <n v="5250"/>
        <n v="19840"/>
        <n v="7525"/>
        <n v="6000"/>
        <n v="6480"/>
        <n v="3650"/>
        <n v="6732"/>
        <n v="14070"/>
        <n v="13002"/>
        <n v="7680"/>
        <n v="20655"/>
        <n v="5478"/>
        <n v="16368"/>
        <n v="10120"/>
        <n v="15350"/>
        <n v="14208"/>
        <n v="7475"/>
        <n v="17248"/>
        <n v="7888"/>
        <n v="5658"/>
        <n v="11152"/>
        <n v="5110"/>
        <n v="8772"/>
        <n v="18700"/>
        <n v="8451"/>
        <n v="17424"/>
        <n v="4980"/>
        <n v="5542"/>
        <n v="8928"/>
        <n v="15368"/>
        <n v="4908"/>
        <n v="18018"/>
        <n v="5010"/>
        <n v="14874"/>
        <n v="5882"/>
        <n v="9090"/>
        <n v="11960"/>
        <n v="7266"/>
        <n v="5992"/>
        <n v="11840"/>
        <n v="20172"/>
        <n v="3530"/>
        <n v="9022"/>
        <n v="3936"/>
        <n v="5152"/>
        <n v="10074"/>
        <n v="6992"/>
        <n v="10824"/>
        <n v="14770"/>
        <n v="4524"/>
        <n v="5562"/>
        <n v="12224"/>
        <n v="9310"/>
        <n v="11894"/>
        <n v="3852"/>
        <n v="8170"/>
        <n v="7150"/>
        <n v="16128"/>
        <n v="16354"/>
        <n v="8424"/>
        <n v="6912"/>
        <n v="3784"/>
        <n v="7424"/>
        <n v="8715"/>
        <n v="11760"/>
        <n v="7771"/>
        <n v="7194"/>
        <n v="5640"/>
        <n v="5536"/>
        <n v="3584"/>
        <n v="18778"/>
        <n v="11616"/>
        <n v="8900"/>
        <n v="6844"/>
        <n v="4369"/>
        <n v="6864"/>
        <n v="9338"/>
        <n v="18962"/>
        <n v="12512"/>
        <n v="13536"/>
        <n v="16920"/>
        <n v="8769"/>
        <n v="20454"/>
        <n v="11098"/>
        <n v="10329"/>
        <n v="19250"/>
        <n v="2552"/>
        <n v="12000"/>
        <n v="5236"/>
        <n v="13630"/>
        <n v="14315"/>
        <n v="3961"/>
        <n v="7866"/>
        <n v="11872"/>
        <n v="3107"/>
        <n v="5808"/>
        <n v="13794"/>
        <n v="3874"/>
        <n v="3655"/>
        <n v="2706"/>
        <n v="7304"/>
        <n v="12255"/>
        <n v="11492"/>
        <n v="5317"/>
        <n v="12272"/>
        <n v="19530"/>
        <n v="14960"/>
        <n v="3410"/>
        <n v="13338"/>
        <n v="6969"/>
        <n v="3920"/>
        <n v="14500"/>
        <n v="10425"/>
        <n v="11725"/>
        <n v="8642"/>
        <n v="5340"/>
        <n v="9614"/>
        <n v="12064"/>
        <n v="11480"/>
        <n v="10024"/>
        <n v="5475"/>
        <n v="19453"/>
        <n v="6900"/>
        <n v="9512"/>
        <n v="4631"/>
        <n v="9990"/>
        <n v="7760"/>
        <n v="4260"/>
        <n v="17028"/>
        <n v="7536"/>
        <n v="17667"/>
        <n v="11058"/>
        <n v="13960"/>
        <n v="4777"/>
        <n v="8778"/>
        <n v="11934"/>
        <n v="5022"/>
        <n v="11904"/>
        <n v="4550"/>
        <n v="10311"/>
        <n v="20010"/>
        <n v="14480"/>
        <n v="10980"/>
        <n v="12095"/>
        <n v="3792"/>
        <n v="14220"/>
        <n v="6650"/>
        <n v="13984"/>
        <n v="9884"/>
        <n v="9724"/>
        <n v="8520"/>
        <n v="3015"/>
        <n v="13632"/>
        <n v="8493"/>
        <n v="11830"/>
        <n v="8228"/>
        <n v="3110"/>
        <n v="8074"/>
        <n v="3995"/>
        <n v="5200"/>
        <n v="15232"/>
        <n v="4407"/>
        <n v="7566"/>
        <n v="13356"/>
        <n v="7035"/>
        <n v="7728"/>
        <n v="7040"/>
        <n v="8037"/>
        <n v="17800"/>
        <n v="4640"/>
        <n v="11502"/>
        <n v="8294"/>
        <n v="9264"/>
        <n v="5580"/>
        <n v="18283"/>
        <n v="11424"/>
        <n v="9766"/>
        <n v="6162"/>
        <n v="6195"/>
        <n v="15912"/>
        <n v="11600"/>
        <n v="3370"/>
        <n v="9432"/>
        <n v="2800"/>
        <n v="20550"/>
        <n v="2870"/>
        <n v="12876"/>
        <n v="7980"/>
        <n v="7905"/>
        <n v="11644"/>
        <n v="22185"/>
        <n v="14196"/>
        <n v="8056"/>
        <n v="10449"/>
        <n v="7598"/>
        <n v="5040"/>
        <n v="13560"/>
        <n v="13532"/>
        <n v="7344"/>
        <n v="9177"/>
        <n v="13908"/>
        <n v="12447"/>
        <n v="3456"/>
        <n v="10044"/>
        <n v="10989"/>
        <n v="16086"/>
        <n v="13244"/>
        <n v="17400"/>
        <n v="12556"/>
        <n v="19352"/>
        <n v="7910"/>
        <n v="12292"/>
        <n v="14600"/>
        <n v="9540"/>
        <n v="4280"/>
        <n v="9720"/>
        <n v="8526"/>
        <n v="13350"/>
        <n v="8260"/>
        <n v="9840"/>
        <n v="4215"/>
        <n v="11037"/>
        <n v="9526"/>
        <n v="10234"/>
        <n v="15561"/>
        <n v="10900"/>
        <n v="2704"/>
        <n v="4914"/>
        <n v="10574"/>
        <n v="5335"/>
        <n v="5291"/>
        <n v="15015"/>
        <n v="16596"/>
        <n v="11655"/>
        <n v="10584"/>
        <n v="4830"/>
        <n v="19850"/>
        <n v="9273"/>
        <n v="10025"/>
        <n v="18361"/>
        <n v="7392"/>
        <n v="10339"/>
        <n v="10754"/>
        <n v="18300"/>
        <n v="13830"/>
        <n v="2544"/>
        <n v="7110"/>
        <n v="2761"/>
        <n v="4096"/>
        <n v="5225"/>
        <n v="22494"/>
        <n v="18492"/>
        <n v="12766"/>
        <n v="22080"/>
        <n v="14912"/>
        <n v="20745"/>
        <n v="4066"/>
        <n v="5334"/>
        <n v="8322"/>
        <n v="19888"/>
        <n v="11687"/>
        <n v="8088"/>
        <n v="6384"/>
        <n v="11008"/>
        <n v="7136"/>
        <n v="10131"/>
        <n v="13756"/>
        <n v="5888"/>
        <n v="12880"/>
        <n v="8455"/>
        <n v="18573"/>
        <n v="4655"/>
        <n v="10833"/>
        <n v="6225"/>
        <n v="14042"/>
        <n v="2968"/>
        <n v="14504"/>
        <n v="12528"/>
        <n v="15781"/>
        <n v="4704"/>
        <n v="15429"/>
        <n v="4480"/>
        <n v="4370"/>
        <n v="18250"/>
        <n v="7800"/>
        <n v="11224"/>
        <n v="15557"/>
        <n v="4912"/>
        <n v="5356"/>
        <n v="18060"/>
        <n v="18032"/>
        <n v="7936"/>
        <n v="16344"/>
        <n v="9366"/>
        <n v="3492"/>
        <n v="12987"/>
        <n v="9160"/>
        <n v="12312"/>
        <n v="10323"/>
        <n v="7216"/>
        <n v="20565"/>
        <n v="3434"/>
        <n v="16530"/>
        <n v="3440"/>
        <n v="7543"/>
        <n v="13373"/>
        <n v="10650"/>
        <n v="10560"/>
        <n v="5220"/>
        <n v="8680"/>
        <n v="7055"/>
        <n v="4090"/>
        <n v="9480"/>
        <n v="6580"/>
        <n v="5526"/>
        <n v="12075"/>
        <n v="9360"/>
        <n v="16591"/>
        <n v="9482"/>
        <n v="9744"/>
        <n v="15059"/>
        <n v="15141"/>
        <n v="6552"/>
        <n v="11000"/>
        <n v="11481"/>
        <n v="14384"/>
        <n v="14688"/>
        <n v="12280"/>
        <n v="7485"/>
        <n v="13275"/>
        <n v="2400"/>
        <n v="5184"/>
        <n v="17514"/>
        <n v="13392"/>
        <n v="14796"/>
        <n v="17360"/>
        <n v="11165"/>
        <n v="3850"/>
        <n v="3332"/>
        <n v="3840"/>
        <n v="17686"/>
        <n v="7164"/>
        <n v="14715"/>
        <n v="7650"/>
        <n v="5532"/>
        <n v="18640"/>
        <n v="8800"/>
        <n v="15336"/>
        <n v="9100"/>
        <n v="8892"/>
        <n v="4264"/>
        <n v="7614"/>
        <n v="16380"/>
        <n v="12173"/>
        <n v="6986"/>
        <n v="3905"/>
        <n v="14388"/>
        <n v="4040"/>
        <n v="11150"/>
        <n v="4488"/>
        <n v="5050"/>
        <n v="7300"/>
        <n v="7956"/>
        <n v="6450"/>
        <n v="7670"/>
        <n v="11360"/>
        <n v="14112"/>
        <n v="8310"/>
        <n v="7600"/>
        <n v="21780"/>
        <n v="4140"/>
        <n v="9416"/>
        <n v="8364"/>
        <n v="6588"/>
        <n v="12555"/>
        <n v="5643"/>
        <n v="23275"/>
        <n v="21032"/>
        <n v="11970"/>
        <n v="8436"/>
        <n v="7917"/>
        <n v="18759"/>
        <n v="3146"/>
        <n v="3536"/>
        <n v="6640"/>
        <n v="14063"/>
        <n v="18128"/>
        <n v="10075"/>
        <n v="8816"/>
        <n v="17220"/>
        <n v="4256"/>
        <n v="12250"/>
        <n v="16809"/>
        <n v="10179"/>
        <n v="4381"/>
        <n v="5833"/>
        <n v="8268"/>
        <n v="7004"/>
        <n v="10276"/>
        <n v="3660"/>
        <n v="8910"/>
        <n v="4200"/>
        <n v="18675"/>
        <n v="23030"/>
        <n v="5922"/>
        <n v="5280"/>
        <n v="10764"/>
        <n v="16080"/>
        <n v="14790"/>
        <n v="18768"/>
        <n v="18672"/>
        <n v="6426"/>
        <n v="7552"/>
        <n v="18732"/>
        <n v="9554"/>
        <n v="4644"/>
        <n v="11900"/>
        <n v="21027"/>
        <n v="9954"/>
        <n v="11256"/>
        <n v="14200"/>
        <n v="10516"/>
        <n v="12488"/>
        <n v="9812"/>
        <n v="12802"/>
        <n v="18017"/>
        <n v="6624"/>
        <n v="18360"/>
        <n v="12784"/>
        <n v="9393"/>
        <n v="9060"/>
        <n v="3210"/>
        <n v="16884"/>
        <n v="10725"/>
        <n v="15092"/>
        <n v="10266"/>
        <n v="12617"/>
        <n v="9486"/>
        <n v="11454"/>
        <n v="20520"/>
        <n v="11433"/>
        <n v="8876"/>
        <n v="15770"/>
        <n v="10864"/>
        <n v="12954"/>
        <n v="7776"/>
        <n v="12717"/>
        <n v="9152"/>
        <n v="10976"/>
        <n v="10000"/>
        <n v="13068"/>
        <n v="10030"/>
        <n v="6300"/>
        <n v="8415"/>
        <n v="8694"/>
        <n v="16388"/>
        <n v="5648"/>
        <n v="12972"/>
        <n v="14227"/>
        <n v="5439"/>
        <n v="16465"/>
        <n v="12640"/>
        <n v="17468"/>
        <n v="5520"/>
        <n v="18960"/>
        <n v="10199"/>
        <n v="8580"/>
        <n v="17480"/>
        <n v="13923"/>
        <n v="6314"/>
        <n v="5629"/>
        <n v="5145"/>
        <n v="15675"/>
        <n v="16415"/>
        <n v="4760"/>
        <n v="14060"/>
        <n v="11004"/>
        <n v="9450"/>
        <n v="10575"/>
        <n v="12800"/>
        <n v="13482"/>
        <n v="14460"/>
        <n v="8418"/>
        <n v="8041"/>
        <n v="5016"/>
        <n v="6720"/>
        <n v="13188"/>
        <n v="10530"/>
        <n v="3720"/>
        <n v="6118"/>
        <n v="7182"/>
        <n v="20724"/>
        <n v="8448"/>
        <n v="17235"/>
        <n v="13846"/>
        <n v="12789"/>
        <n v="16682"/>
        <n v="11440"/>
        <n v="10944"/>
        <n v="16340"/>
        <n v="18352"/>
        <n v="9108"/>
        <n v="14586"/>
        <n v="8811"/>
        <n v="9126"/>
        <n v="10640"/>
        <n v="13775"/>
        <n v="9240"/>
        <n v="6954"/>
        <n v="23700"/>
        <n v="3564"/>
        <n v="6150"/>
        <n v="18312"/>
        <n v="13524"/>
        <n v="13717"/>
        <n v="14700"/>
        <n v="7584"/>
        <n v="17000"/>
        <n v="10528"/>
        <n v="18522"/>
        <n v="3180"/>
        <n v="4230"/>
        <n v="16212"/>
        <n v="9984"/>
        <n v="10045"/>
        <n v="11736"/>
        <n v="18734"/>
        <n v="11520"/>
        <n v="8050"/>
        <n v="3444"/>
        <n v="7429"/>
        <n v="21328"/>
        <n v="9045"/>
        <n v="8204"/>
        <n v="4788"/>
        <n v="8901"/>
        <n v="15192"/>
        <n v="6920"/>
        <n v="14718"/>
        <n v="5880"/>
        <n v="14872"/>
        <n v="16608"/>
        <n v="6990"/>
        <n v="17094"/>
        <n v="6690"/>
        <n v="6790"/>
        <n v="15327"/>
        <n v="8349"/>
        <n v="18774"/>
        <n v="7072"/>
        <n v="13268"/>
        <n v="10268"/>
        <n v="3402"/>
        <n v="20108"/>
        <n v="6545"/>
        <n v="11928"/>
        <n v="9913"/>
        <n v="5103"/>
        <n v="11346"/>
        <n v="6500"/>
        <n v="8862"/>
        <n v="11310"/>
        <n v="7000"/>
        <n v="10368"/>
        <n v="5140"/>
        <n v="6461"/>
        <n v="11515"/>
        <n v="5203"/>
        <n v="5055"/>
        <n v="7337"/>
        <n v="9120"/>
        <n v="15369"/>
        <n v="11300"/>
        <n v="7975"/>
        <n v="18080"/>
        <n v="6525"/>
        <n v="7332"/>
        <n v="9106"/>
        <n v="12543"/>
        <n v="13818"/>
        <n v="10286"/>
        <n v="12501"/>
        <n v="12180"/>
        <n v="15435"/>
        <n v="4131"/>
        <n v="16968"/>
        <n v="8253"/>
        <n v="6840"/>
        <n v="6848"/>
        <n v="12454"/>
        <n v="4104"/>
        <n v="5559"/>
        <n v="13650"/>
        <n v="7550"/>
        <n v="14074"/>
        <n v="10750"/>
        <n v="13265"/>
        <n v="12298"/>
        <n v="7857"/>
        <n v="10188"/>
        <n v="11972"/>
        <n v="13728"/>
        <n v="16401"/>
        <n v="12440"/>
        <n v="14848"/>
        <n v="4554"/>
        <n v="7990"/>
        <n v="15345"/>
        <n v="6534"/>
        <n v="5397"/>
        <n v="9856"/>
        <n v="10128"/>
        <n v="9280"/>
        <n v="9367"/>
        <n v="12635"/>
        <n v="5796"/>
        <n v="11049"/>
        <n v="13949"/>
        <n v="15159"/>
        <n v="22300"/>
        <n v="7425"/>
        <n v="13769"/>
        <n v="8937"/>
        <n v="10215"/>
        <n v="13720"/>
        <n v="14952"/>
        <n v="5627"/>
        <n v="17472"/>
        <n v="8406"/>
        <n v="5035"/>
        <n v="13380"/>
        <n v="11690"/>
        <n v="4995"/>
        <n v="17618"/>
        <n v="3624"/>
        <n v="10260"/>
        <n v="18172"/>
        <n v="13872"/>
        <n v="5817"/>
        <n v="6832"/>
        <n v="16870"/>
        <n v="5400"/>
        <n v="10063"/>
        <n v="11618"/>
        <n v="6916"/>
        <n v="16872"/>
        <n v="17560"/>
        <n v="18676"/>
        <n v="10503"/>
        <n v="17920"/>
        <n v="20188"/>
        <n v="11220"/>
        <n v="5160"/>
        <n v="4563"/>
        <n v="10224"/>
        <n v="16268"/>
        <n v="10836"/>
        <n v="6594"/>
        <n v="5440"/>
        <n v="18240"/>
        <n v="4455"/>
        <n v="5369"/>
        <n v="4752"/>
        <n v="12960"/>
        <n v="8008"/>
        <n v="9936"/>
        <n v="9657"/>
        <n v="7770"/>
        <n v="5460"/>
        <n v="4365"/>
        <n v="14730"/>
        <n v="15136"/>
        <n v="16428"/>
        <n v="7470"/>
        <n v="8211"/>
        <n v="9968"/>
        <n v="19964"/>
        <n v="16704"/>
        <n v="13803"/>
        <n v="10600"/>
        <n v="12716"/>
        <n v="5844"/>
        <n v="17784"/>
        <n v="2820"/>
        <n v="2350"/>
        <n v="6825"/>
        <n v="17587"/>
        <n v="12700"/>
        <n v="15708"/>
        <n v="11856"/>
        <n v="14490"/>
        <n v="11186"/>
        <n v="7488"/>
        <n v="7380"/>
        <n v="9548"/>
        <n v="20654"/>
        <n v="5453"/>
        <n v="11438"/>
        <n v="18480"/>
        <n v="3864"/>
        <n v="5472"/>
        <n v="3895"/>
        <n v="6060"/>
        <n v="9178"/>
        <n v="9499"/>
        <n v="12847"/>
        <n v="15410"/>
        <n v="6798"/>
        <n v="12432"/>
        <n v="13692"/>
        <n v="6504"/>
        <n v="5129"/>
        <n v="6270"/>
        <n v="8854"/>
        <n v="6750"/>
        <n v="2928"/>
        <n v="7032"/>
        <n v="5964"/>
        <n v="6854"/>
        <n v="11452"/>
        <n v="9702"/>
        <n v="4741"/>
        <n v="4068"/>
        <n v="8904"/>
        <n v="9282"/>
        <n v="3497"/>
        <n v="14477"/>
        <n v="6342"/>
        <n v="9088"/>
        <n v="13770"/>
        <n v="4014"/>
        <n v="6360"/>
        <n v="18800"/>
        <n v="7821"/>
        <n v="8960"/>
        <n v="18920"/>
        <n v="23171"/>
        <n v="17136"/>
        <n v="12600"/>
        <n v="8360"/>
        <n v="6432"/>
        <n v="9198"/>
        <n v="16254"/>
        <n v="11924"/>
        <n v="17822"/>
        <n v="5538"/>
        <n v="8381"/>
        <n v="6752"/>
        <n v="10008"/>
        <n v="12803"/>
        <n v="20784"/>
        <n v="8362"/>
        <n v="10494"/>
        <n v="14577"/>
        <n v="14993"/>
        <n v="14904"/>
        <n v="8568"/>
        <n v="3857"/>
        <n v="5376"/>
        <n v="9640"/>
        <n v="13398"/>
        <n v="14430"/>
        <n v="12564"/>
        <n v="9193"/>
        <n v="10686"/>
        <n v="20335"/>
        <n v="18354"/>
        <n v="4740"/>
        <n v="14628"/>
        <n v="11250"/>
        <n v="6831"/>
        <n v="5896"/>
        <n v="8736"/>
        <n v="7095"/>
        <n v="13020"/>
        <n v="12865"/>
        <n v="13860"/>
        <n v="9477"/>
        <n v="9424"/>
        <n v="11322"/>
        <n v="22816"/>
        <n v="8878"/>
      </sharedItems>
    </cacheField>
    <cacheField name="Profit" numFmtId="0">
      <sharedItems containsSemiMixedTypes="0" containsString="0" containsNumber="1" minValue="458" maxValue="4740"/>
    </cacheField>
    <cacheField name="State" numFmtId="0">
      <sharedItems count="14">
        <s v="Maharashtra"/>
        <s v="Delhi"/>
        <s v="Uttar Pradesh"/>
        <s v="Karnataka"/>
        <s v="Uttarakhand"/>
        <s v="Goa"/>
        <s v="Kerala"/>
        <s v="Jharkhand"/>
        <s v="West Bengal"/>
        <s v="Himachal Pradesh"/>
        <s v="Gujarat"/>
        <s v="Telangana"/>
        <s v="Rajasthan"/>
        <s v="Jammu and Kashmir"/>
      </sharedItems>
    </cacheField>
    <cacheField name="Months (Date)" numFmtId="0" databaseField="0">
      <fieldGroup base="0">
        <rangePr groupBy="months" startDate="2024-01-03T00:00:00" endDate="2025-12-31T00:00:00"/>
        <groupItems count="14">
          <s v="&lt;03-01-2024"/>
          <s v="Jan"/>
          <s v="Feb"/>
          <s v="Mar"/>
          <s v="Apr"/>
          <s v="May"/>
          <s v="Jun"/>
          <s v="Jul"/>
          <s v="Aug"/>
          <s v="Sep"/>
          <s v="Oct"/>
          <s v="Nov"/>
          <s v="Dec"/>
          <s v="&gt;31-12-2025"/>
        </groupItems>
      </fieldGroup>
    </cacheField>
    <cacheField name="Quarters (Date)" numFmtId="0" databaseField="0">
      <fieldGroup base="0">
        <rangePr groupBy="quarters" startDate="2024-01-03T00:00:00" endDate="2025-12-31T00:00:00"/>
        <groupItems count="6">
          <s v="&lt;03-01-2024"/>
          <s v="Qtr1"/>
          <s v="Qtr2"/>
          <s v="Qtr3"/>
          <s v="Qtr4"/>
          <s v="&gt;31-12-2025"/>
        </groupItems>
      </fieldGroup>
    </cacheField>
    <cacheField name="Years (Date)" numFmtId="0" databaseField="0">
      <fieldGroup base="0">
        <rangePr groupBy="years" startDate="2024-01-03T00:00:00" endDate="2025-12-31T00:00:00"/>
        <groupItems count="4">
          <s v="&lt;03-01-2024"/>
          <s v="2024"/>
          <s v="2025"/>
          <s v="&gt;31-12-2025"/>
        </groupItems>
      </fieldGroup>
    </cacheField>
    <cacheField name="Average Selling Price" numFmtId="0" formula="'Total Sale'/Units" databaseField="0"/>
  </cacheFields>
  <extLst>
    <ext xmlns:x14="http://schemas.microsoft.com/office/spreadsheetml/2009/9/main" uri="{725AE2AE-9491-48be-B2B4-4EB974FC3084}">
      <x14:pivotCacheDefinition pivotCacheId="13588378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289"/>
    <x v="0"/>
    <n v="1098.2"/>
    <x v="0"/>
  </r>
  <r>
    <x v="0"/>
    <x v="1"/>
    <x v="1"/>
    <x v="1"/>
    <x v="1"/>
    <n v="248"/>
    <x v="1"/>
    <n v="2480"/>
    <x v="1"/>
  </r>
  <r>
    <x v="1"/>
    <x v="2"/>
    <x v="2"/>
    <x v="2"/>
    <x v="2"/>
    <n v="353"/>
    <x v="2"/>
    <n v="2047.4"/>
    <x v="2"/>
  </r>
  <r>
    <x v="2"/>
    <x v="3"/>
    <x v="2"/>
    <x v="3"/>
    <x v="3"/>
    <n v="470"/>
    <x v="3"/>
    <n v="1222"/>
    <x v="3"/>
  </r>
  <r>
    <x v="3"/>
    <x v="4"/>
    <x v="3"/>
    <x v="4"/>
    <x v="4"/>
    <n v="246"/>
    <x v="4"/>
    <n v="1377.6000000000001"/>
    <x v="4"/>
  </r>
  <r>
    <x v="4"/>
    <x v="5"/>
    <x v="4"/>
    <x v="5"/>
    <x v="0"/>
    <n v="343"/>
    <x v="5"/>
    <n v="1303.4000000000001"/>
    <x v="5"/>
  </r>
  <r>
    <x v="5"/>
    <x v="6"/>
    <x v="5"/>
    <x v="6"/>
    <x v="5"/>
    <n v="391"/>
    <x v="6"/>
    <n v="2737"/>
    <x v="3"/>
  </r>
  <r>
    <x v="5"/>
    <x v="6"/>
    <x v="6"/>
    <x v="7"/>
    <x v="6"/>
    <n v="411"/>
    <x v="7"/>
    <n v="2630.4"/>
    <x v="2"/>
  </r>
  <r>
    <x v="6"/>
    <x v="7"/>
    <x v="7"/>
    <x v="8"/>
    <x v="7"/>
    <n v="307"/>
    <x v="8"/>
    <n v="2271.8000000000002"/>
    <x v="6"/>
  </r>
  <r>
    <x v="7"/>
    <x v="8"/>
    <x v="7"/>
    <x v="6"/>
    <x v="6"/>
    <n v="208"/>
    <x v="9"/>
    <n v="1331.2"/>
    <x v="7"/>
  </r>
  <r>
    <x v="7"/>
    <x v="8"/>
    <x v="5"/>
    <x v="2"/>
    <x v="8"/>
    <n v="229"/>
    <x v="10"/>
    <n v="458"/>
    <x v="8"/>
  </r>
  <r>
    <x v="7"/>
    <x v="1"/>
    <x v="4"/>
    <x v="3"/>
    <x v="9"/>
    <n v="367"/>
    <x v="11"/>
    <n v="1541.4"/>
    <x v="4"/>
  </r>
  <r>
    <x v="7"/>
    <x v="9"/>
    <x v="8"/>
    <x v="2"/>
    <x v="10"/>
    <n v="476"/>
    <x v="12"/>
    <n v="3998.4"/>
    <x v="0"/>
  </r>
  <r>
    <x v="8"/>
    <x v="8"/>
    <x v="9"/>
    <x v="5"/>
    <x v="11"/>
    <n v="316"/>
    <x v="13"/>
    <n v="2401.6"/>
    <x v="0"/>
  </r>
  <r>
    <x v="9"/>
    <x v="10"/>
    <x v="9"/>
    <x v="9"/>
    <x v="12"/>
    <n v="469"/>
    <x v="14"/>
    <n v="3095.4"/>
    <x v="3"/>
  </r>
  <r>
    <x v="9"/>
    <x v="11"/>
    <x v="2"/>
    <x v="7"/>
    <x v="3"/>
    <n v="493"/>
    <x v="15"/>
    <n v="1281.8000000000002"/>
    <x v="1"/>
  </r>
  <r>
    <x v="9"/>
    <x v="12"/>
    <x v="2"/>
    <x v="3"/>
    <x v="13"/>
    <n v="360"/>
    <x v="16"/>
    <n v="2952"/>
    <x v="6"/>
  </r>
  <r>
    <x v="9"/>
    <x v="7"/>
    <x v="0"/>
    <x v="0"/>
    <x v="14"/>
    <n v="411"/>
    <x v="17"/>
    <n v="2794.8"/>
    <x v="1"/>
  </r>
  <r>
    <x v="9"/>
    <x v="7"/>
    <x v="0"/>
    <x v="0"/>
    <x v="13"/>
    <n v="233"/>
    <x v="18"/>
    <n v="1910.6000000000001"/>
    <x v="9"/>
  </r>
  <r>
    <x v="9"/>
    <x v="2"/>
    <x v="4"/>
    <x v="8"/>
    <x v="15"/>
    <n v="224"/>
    <x v="19"/>
    <n v="1612.8000000000002"/>
    <x v="6"/>
  </r>
  <r>
    <x v="10"/>
    <x v="6"/>
    <x v="9"/>
    <x v="10"/>
    <x v="16"/>
    <n v="499"/>
    <x v="20"/>
    <n v="2195.6"/>
    <x v="8"/>
  </r>
  <r>
    <x v="10"/>
    <x v="9"/>
    <x v="0"/>
    <x v="7"/>
    <x v="2"/>
    <n v="296"/>
    <x v="21"/>
    <n v="1716.8000000000002"/>
    <x v="6"/>
  </r>
  <r>
    <x v="10"/>
    <x v="4"/>
    <x v="4"/>
    <x v="11"/>
    <x v="17"/>
    <n v="340"/>
    <x v="22"/>
    <n v="2040"/>
    <x v="1"/>
  </r>
  <r>
    <x v="11"/>
    <x v="1"/>
    <x v="0"/>
    <x v="8"/>
    <x v="4"/>
    <n v="405"/>
    <x v="23"/>
    <n v="2268"/>
    <x v="0"/>
  </r>
  <r>
    <x v="11"/>
    <x v="3"/>
    <x v="5"/>
    <x v="5"/>
    <x v="18"/>
    <n v="312"/>
    <x v="24"/>
    <n v="2683.2000000000003"/>
    <x v="10"/>
  </r>
  <r>
    <x v="12"/>
    <x v="5"/>
    <x v="1"/>
    <x v="11"/>
    <x v="19"/>
    <n v="411"/>
    <x v="25"/>
    <n v="904.2"/>
    <x v="8"/>
  </r>
  <r>
    <x v="13"/>
    <x v="5"/>
    <x v="9"/>
    <x v="1"/>
    <x v="20"/>
    <n v="292"/>
    <x v="26"/>
    <n v="2686.4"/>
    <x v="10"/>
  </r>
  <r>
    <x v="13"/>
    <x v="2"/>
    <x v="3"/>
    <x v="4"/>
    <x v="20"/>
    <n v="350"/>
    <x v="27"/>
    <n v="3220"/>
    <x v="9"/>
  </r>
  <r>
    <x v="14"/>
    <x v="2"/>
    <x v="1"/>
    <x v="12"/>
    <x v="21"/>
    <n v="328"/>
    <x v="28"/>
    <n v="3214.4"/>
    <x v="5"/>
  </r>
  <r>
    <x v="14"/>
    <x v="5"/>
    <x v="1"/>
    <x v="8"/>
    <x v="19"/>
    <n v="282"/>
    <x v="29"/>
    <n v="620.40000000000009"/>
    <x v="11"/>
  </r>
  <r>
    <x v="14"/>
    <x v="2"/>
    <x v="3"/>
    <x v="7"/>
    <x v="22"/>
    <n v="470"/>
    <x v="30"/>
    <n v="2444"/>
    <x v="9"/>
  </r>
  <r>
    <x v="14"/>
    <x v="0"/>
    <x v="3"/>
    <x v="13"/>
    <x v="15"/>
    <n v="417"/>
    <x v="31"/>
    <n v="3002.4"/>
    <x v="2"/>
  </r>
  <r>
    <x v="15"/>
    <x v="1"/>
    <x v="8"/>
    <x v="0"/>
    <x v="0"/>
    <n v="422"/>
    <x v="32"/>
    <n v="1603.6000000000001"/>
    <x v="2"/>
  </r>
  <r>
    <x v="16"/>
    <x v="5"/>
    <x v="1"/>
    <x v="14"/>
    <x v="23"/>
    <n v="283"/>
    <x v="33"/>
    <n v="2547"/>
    <x v="4"/>
  </r>
  <r>
    <x v="16"/>
    <x v="1"/>
    <x v="1"/>
    <x v="9"/>
    <x v="24"/>
    <n v="257"/>
    <x v="34"/>
    <n v="1593.4"/>
    <x v="10"/>
  </r>
  <r>
    <x v="17"/>
    <x v="7"/>
    <x v="2"/>
    <x v="4"/>
    <x v="16"/>
    <n v="301"/>
    <x v="35"/>
    <n v="1324.4"/>
    <x v="7"/>
  </r>
  <r>
    <x v="18"/>
    <x v="1"/>
    <x v="8"/>
    <x v="7"/>
    <x v="24"/>
    <n v="337"/>
    <x v="36"/>
    <n v="2089.4"/>
    <x v="10"/>
  </r>
  <r>
    <x v="19"/>
    <x v="11"/>
    <x v="1"/>
    <x v="15"/>
    <x v="1"/>
    <n v="327"/>
    <x v="37"/>
    <n v="3270"/>
    <x v="10"/>
  </r>
  <r>
    <x v="20"/>
    <x v="4"/>
    <x v="9"/>
    <x v="15"/>
    <x v="24"/>
    <n v="246"/>
    <x v="38"/>
    <n v="1525.2"/>
    <x v="4"/>
  </r>
  <r>
    <x v="20"/>
    <x v="4"/>
    <x v="6"/>
    <x v="16"/>
    <x v="19"/>
    <n v="229"/>
    <x v="39"/>
    <n v="503.8"/>
    <x v="1"/>
  </r>
  <r>
    <x v="20"/>
    <x v="8"/>
    <x v="1"/>
    <x v="9"/>
    <x v="5"/>
    <n v="294"/>
    <x v="40"/>
    <n v="2058"/>
    <x v="9"/>
  </r>
  <r>
    <x v="21"/>
    <x v="13"/>
    <x v="7"/>
    <x v="10"/>
    <x v="5"/>
    <n v="271"/>
    <x v="41"/>
    <n v="1897"/>
    <x v="8"/>
  </r>
  <r>
    <x v="21"/>
    <x v="12"/>
    <x v="6"/>
    <x v="12"/>
    <x v="20"/>
    <n v="394"/>
    <x v="42"/>
    <n v="3624.8"/>
    <x v="3"/>
  </r>
  <r>
    <x v="22"/>
    <x v="8"/>
    <x v="6"/>
    <x v="16"/>
    <x v="9"/>
    <n v="499"/>
    <x v="43"/>
    <n v="2095.8000000000002"/>
    <x v="12"/>
  </r>
  <r>
    <x v="22"/>
    <x v="0"/>
    <x v="1"/>
    <x v="12"/>
    <x v="21"/>
    <n v="479"/>
    <x v="44"/>
    <n v="4694.2"/>
    <x v="7"/>
  </r>
  <r>
    <x v="23"/>
    <x v="4"/>
    <x v="0"/>
    <x v="17"/>
    <x v="19"/>
    <n v="211"/>
    <x v="45"/>
    <n v="464.20000000000005"/>
    <x v="0"/>
  </r>
  <r>
    <x v="24"/>
    <x v="4"/>
    <x v="6"/>
    <x v="1"/>
    <x v="24"/>
    <n v="425"/>
    <x v="46"/>
    <n v="2635"/>
    <x v="12"/>
  </r>
  <r>
    <x v="24"/>
    <x v="13"/>
    <x v="3"/>
    <x v="18"/>
    <x v="23"/>
    <n v="480"/>
    <x v="47"/>
    <n v="4320"/>
    <x v="3"/>
  </r>
  <r>
    <x v="24"/>
    <x v="0"/>
    <x v="8"/>
    <x v="12"/>
    <x v="25"/>
    <n v="353"/>
    <x v="48"/>
    <n v="1270.8000000000002"/>
    <x v="9"/>
  </r>
  <r>
    <x v="25"/>
    <x v="14"/>
    <x v="9"/>
    <x v="14"/>
    <x v="26"/>
    <n v="480"/>
    <x v="49"/>
    <n v="1440"/>
    <x v="0"/>
  </r>
  <r>
    <x v="26"/>
    <x v="3"/>
    <x v="5"/>
    <x v="5"/>
    <x v="2"/>
    <n v="285"/>
    <x v="50"/>
    <n v="1653"/>
    <x v="3"/>
  </r>
  <r>
    <x v="27"/>
    <x v="3"/>
    <x v="0"/>
    <x v="13"/>
    <x v="16"/>
    <n v="226"/>
    <x v="51"/>
    <n v="994.40000000000009"/>
    <x v="6"/>
  </r>
  <r>
    <x v="27"/>
    <x v="9"/>
    <x v="4"/>
    <x v="8"/>
    <x v="5"/>
    <n v="452"/>
    <x v="52"/>
    <n v="3164"/>
    <x v="5"/>
  </r>
  <r>
    <x v="27"/>
    <x v="3"/>
    <x v="4"/>
    <x v="0"/>
    <x v="7"/>
    <n v="241"/>
    <x v="53"/>
    <n v="1783.4"/>
    <x v="4"/>
  </r>
  <r>
    <x v="27"/>
    <x v="15"/>
    <x v="3"/>
    <x v="4"/>
    <x v="27"/>
    <n v="340"/>
    <x v="54"/>
    <n v="3196"/>
    <x v="10"/>
  </r>
  <r>
    <x v="27"/>
    <x v="16"/>
    <x v="8"/>
    <x v="15"/>
    <x v="1"/>
    <n v="339"/>
    <x v="55"/>
    <n v="3390"/>
    <x v="11"/>
  </r>
  <r>
    <x v="28"/>
    <x v="1"/>
    <x v="4"/>
    <x v="4"/>
    <x v="28"/>
    <n v="387"/>
    <x v="56"/>
    <n v="1935"/>
    <x v="8"/>
  </r>
  <r>
    <x v="29"/>
    <x v="12"/>
    <x v="1"/>
    <x v="18"/>
    <x v="27"/>
    <n v="473"/>
    <x v="57"/>
    <n v="4446.2"/>
    <x v="8"/>
  </r>
  <r>
    <x v="30"/>
    <x v="7"/>
    <x v="6"/>
    <x v="7"/>
    <x v="8"/>
    <n v="288"/>
    <x v="58"/>
    <n v="576"/>
    <x v="9"/>
  </r>
  <r>
    <x v="31"/>
    <x v="13"/>
    <x v="2"/>
    <x v="11"/>
    <x v="9"/>
    <n v="413"/>
    <x v="59"/>
    <n v="1734.6000000000001"/>
    <x v="12"/>
  </r>
  <r>
    <x v="32"/>
    <x v="4"/>
    <x v="9"/>
    <x v="0"/>
    <x v="29"/>
    <n v="391"/>
    <x v="60"/>
    <n v="1564"/>
    <x v="1"/>
  </r>
  <r>
    <x v="32"/>
    <x v="16"/>
    <x v="0"/>
    <x v="12"/>
    <x v="19"/>
    <n v="366"/>
    <x v="61"/>
    <n v="805.2"/>
    <x v="6"/>
  </r>
  <r>
    <x v="32"/>
    <x v="7"/>
    <x v="6"/>
    <x v="2"/>
    <x v="27"/>
    <n v="352"/>
    <x v="62"/>
    <n v="3308.8"/>
    <x v="4"/>
  </r>
  <r>
    <x v="33"/>
    <x v="17"/>
    <x v="0"/>
    <x v="6"/>
    <x v="28"/>
    <n v="239"/>
    <x v="63"/>
    <n v="1195"/>
    <x v="5"/>
  </r>
  <r>
    <x v="33"/>
    <x v="7"/>
    <x v="8"/>
    <x v="11"/>
    <x v="13"/>
    <n v="316"/>
    <x v="64"/>
    <n v="2591.2000000000003"/>
    <x v="0"/>
  </r>
  <r>
    <x v="34"/>
    <x v="9"/>
    <x v="9"/>
    <x v="12"/>
    <x v="15"/>
    <n v="201"/>
    <x v="65"/>
    <n v="1447.2"/>
    <x v="9"/>
  </r>
  <r>
    <x v="35"/>
    <x v="12"/>
    <x v="2"/>
    <x v="19"/>
    <x v="23"/>
    <n v="278"/>
    <x v="66"/>
    <n v="2502"/>
    <x v="1"/>
  </r>
  <r>
    <x v="36"/>
    <x v="11"/>
    <x v="7"/>
    <x v="8"/>
    <x v="20"/>
    <n v="441"/>
    <x v="67"/>
    <n v="4057.2000000000003"/>
    <x v="5"/>
  </r>
  <r>
    <x v="36"/>
    <x v="14"/>
    <x v="5"/>
    <x v="1"/>
    <x v="24"/>
    <n v="468"/>
    <x v="68"/>
    <n v="2901.6000000000004"/>
    <x v="12"/>
  </r>
  <r>
    <x v="36"/>
    <x v="2"/>
    <x v="4"/>
    <x v="18"/>
    <x v="30"/>
    <n v="428"/>
    <x v="69"/>
    <n v="1027.2"/>
    <x v="6"/>
  </r>
  <r>
    <x v="36"/>
    <x v="18"/>
    <x v="3"/>
    <x v="6"/>
    <x v="25"/>
    <n v="487"/>
    <x v="70"/>
    <n v="1753.2"/>
    <x v="0"/>
  </r>
  <r>
    <x v="37"/>
    <x v="5"/>
    <x v="6"/>
    <x v="6"/>
    <x v="31"/>
    <n v="458"/>
    <x v="71"/>
    <n v="1557.2"/>
    <x v="11"/>
  </r>
  <r>
    <x v="37"/>
    <x v="2"/>
    <x v="6"/>
    <x v="2"/>
    <x v="25"/>
    <n v="343"/>
    <x v="72"/>
    <n v="1234.8000000000002"/>
    <x v="11"/>
  </r>
  <r>
    <x v="37"/>
    <x v="7"/>
    <x v="3"/>
    <x v="12"/>
    <x v="31"/>
    <n v="239"/>
    <x v="73"/>
    <n v="812.6"/>
    <x v="8"/>
  </r>
  <r>
    <x v="38"/>
    <x v="6"/>
    <x v="7"/>
    <x v="14"/>
    <x v="32"/>
    <n v="236"/>
    <x v="74"/>
    <n v="755.2"/>
    <x v="2"/>
  </r>
  <r>
    <x v="38"/>
    <x v="8"/>
    <x v="8"/>
    <x v="8"/>
    <x v="12"/>
    <n v="304"/>
    <x v="75"/>
    <n v="2006.4"/>
    <x v="5"/>
  </r>
  <r>
    <x v="39"/>
    <x v="3"/>
    <x v="5"/>
    <x v="3"/>
    <x v="33"/>
    <n v="247"/>
    <x v="76"/>
    <n v="1333.8000000000002"/>
    <x v="10"/>
  </r>
  <r>
    <x v="39"/>
    <x v="13"/>
    <x v="1"/>
    <x v="0"/>
    <x v="4"/>
    <n v="360"/>
    <x v="77"/>
    <n v="2016"/>
    <x v="4"/>
  </r>
  <r>
    <x v="40"/>
    <x v="1"/>
    <x v="8"/>
    <x v="6"/>
    <x v="28"/>
    <n v="477"/>
    <x v="78"/>
    <n v="2385"/>
    <x v="12"/>
  </r>
  <r>
    <x v="41"/>
    <x v="1"/>
    <x v="9"/>
    <x v="2"/>
    <x v="8"/>
    <n v="493"/>
    <x v="79"/>
    <n v="986"/>
    <x v="6"/>
  </r>
  <r>
    <x v="41"/>
    <x v="3"/>
    <x v="2"/>
    <x v="10"/>
    <x v="3"/>
    <n v="238"/>
    <x v="80"/>
    <n v="618.80000000000007"/>
    <x v="7"/>
  </r>
  <r>
    <x v="41"/>
    <x v="1"/>
    <x v="6"/>
    <x v="14"/>
    <x v="20"/>
    <n v="241"/>
    <x v="81"/>
    <n v="2217.2000000000003"/>
    <x v="3"/>
  </r>
  <r>
    <x v="42"/>
    <x v="2"/>
    <x v="9"/>
    <x v="10"/>
    <x v="15"/>
    <n v="412"/>
    <x v="82"/>
    <n v="2966.4"/>
    <x v="13"/>
  </r>
  <r>
    <x v="42"/>
    <x v="2"/>
    <x v="0"/>
    <x v="6"/>
    <x v="0"/>
    <n v="253"/>
    <x v="83"/>
    <n v="961.40000000000009"/>
    <x v="9"/>
  </r>
  <r>
    <x v="43"/>
    <x v="1"/>
    <x v="7"/>
    <x v="2"/>
    <x v="8"/>
    <n v="413"/>
    <x v="84"/>
    <n v="826"/>
    <x v="3"/>
  </r>
  <r>
    <x v="43"/>
    <x v="12"/>
    <x v="0"/>
    <x v="16"/>
    <x v="19"/>
    <n v="368"/>
    <x v="85"/>
    <n v="809.6"/>
    <x v="4"/>
  </r>
  <r>
    <x v="43"/>
    <x v="14"/>
    <x v="4"/>
    <x v="15"/>
    <x v="34"/>
    <n v="223"/>
    <x v="86"/>
    <n v="624.40000000000009"/>
    <x v="2"/>
  </r>
  <r>
    <x v="44"/>
    <x v="14"/>
    <x v="2"/>
    <x v="12"/>
    <x v="12"/>
    <n v="364"/>
    <x v="87"/>
    <n v="2402.4"/>
    <x v="3"/>
  </r>
  <r>
    <x v="44"/>
    <x v="6"/>
    <x v="2"/>
    <x v="16"/>
    <x v="2"/>
    <n v="247"/>
    <x v="88"/>
    <n v="1432.6000000000001"/>
    <x v="11"/>
  </r>
  <r>
    <x v="45"/>
    <x v="10"/>
    <x v="1"/>
    <x v="8"/>
    <x v="31"/>
    <n v="312"/>
    <x v="89"/>
    <n v="1060.8"/>
    <x v="2"/>
  </r>
  <r>
    <x v="46"/>
    <x v="12"/>
    <x v="2"/>
    <x v="11"/>
    <x v="19"/>
    <n v="239"/>
    <x v="90"/>
    <n v="525.80000000000007"/>
    <x v="0"/>
  </r>
  <r>
    <x v="46"/>
    <x v="8"/>
    <x v="4"/>
    <x v="9"/>
    <x v="13"/>
    <n v="415"/>
    <x v="91"/>
    <n v="3403"/>
    <x v="5"/>
  </r>
  <r>
    <x v="46"/>
    <x v="17"/>
    <x v="6"/>
    <x v="1"/>
    <x v="25"/>
    <n v="447"/>
    <x v="92"/>
    <n v="1609.2"/>
    <x v="6"/>
  </r>
  <r>
    <x v="47"/>
    <x v="15"/>
    <x v="4"/>
    <x v="16"/>
    <x v="18"/>
    <n v="359"/>
    <x v="93"/>
    <n v="3087.4"/>
    <x v="0"/>
  </r>
  <r>
    <x v="47"/>
    <x v="7"/>
    <x v="6"/>
    <x v="17"/>
    <x v="5"/>
    <n v="397"/>
    <x v="94"/>
    <n v="2779"/>
    <x v="11"/>
  </r>
  <r>
    <x v="47"/>
    <x v="0"/>
    <x v="3"/>
    <x v="3"/>
    <x v="35"/>
    <n v="337"/>
    <x v="95"/>
    <n v="1550.2"/>
    <x v="1"/>
  </r>
  <r>
    <x v="48"/>
    <x v="14"/>
    <x v="2"/>
    <x v="0"/>
    <x v="16"/>
    <n v="324"/>
    <x v="96"/>
    <n v="1425.6000000000001"/>
    <x v="12"/>
  </r>
  <r>
    <x v="48"/>
    <x v="8"/>
    <x v="0"/>
    <x v="19"/>
    <x v="32"/>
    <n v="482"/>
    <x v="97"/>
    <n v="1542.4"/>
    <x v="4"/>
  </r>
  <r>
    <x v="49"/>
    <x v="2"/>
    <x v="1"/>
    <x v="13"/>
    <x v="34"/>
    <n v="404"/>
    <x v="98"/>
    <n v="1131.2"/>
    <x v="12"/>
  </r>
  <r>
    <x v="49"/>
    <x v="9"/>
    <x v="1"/>
    <x v="7"/>
    <x v="29"/>
    <n v="312"/>
    <x v="99"/>
    <n v="1248"/>
    <x v="7"/>
  </r>
  <r>
    <x v="50"/>
    <x v="6"/>
    <x v="7"/>
    <x v="3"/>
    <x v="36"/>
    <n v="488"/>
    <x v="100"/>
    <n v="3904"/>
    <x v="6"/>
  </r>
  <r>
    <x v="50"/>
    <x v="10"/>
    <x v="0"/>
    <x v="17"/>
    <x v="34"/>
    <n v="496"/>
    <x v="101"/>
    <n v="1388.8000000000002"/>
    <x v="2"/>
  </r>
  <r>
    <x v="51"/>
    <x v="8"/>
    <x v="6"/>
    <x v="10"/>
    <x v="22"/>
    <n v="430"/>
    <x v="102"/>
    <n v="2236"/>
    <x v="5"/>
  </r>
  <r>
    <x v="51"/>
    <x v="13"/>
    <x v="3"/>
    <x v="6"/>
    <x v="37"/>
    <n v="364"/>
    <x v="103"/>
    <n v="3203.2000000000003"/>
    <x v="5"/>
  </r>
  <r>
    <x v="52"/>
    <x v="19"/>
    <x v="5"/>
    <x v="17"/>
    <x v="1"/>
    <n v="435"/>
    <x v="104"/>
    <n v="4350"/>
    <x v="13"/>
  </r>
  <r>
    <x v="53"/>
    <x v="7"/>
    <x v="5"/>
    <x v="15"/>
    <x v="8"/>
    <n v="362"/>
    <x v="105"/>
    <n v="724"/>
    <x v="13"/>
  </r>
  <r>
    <x v="53"/>
    <x v="4"/>
    <x v="4"/>
    <x v="12"/>
    <x v="5"/>
    <n v="384"/>
    <x v="106"/>
    <n v="2688"/>
    <x v="7"/>
  </r>
  <r>
    <x v="53"/>
    <x v="16"/>
    <x v="4"/>
    <x v="12"/>
    <x v="35"/>
    <n v="372"/>
    <x v="107"/>
    <n v="1711.2"/>
    <x v="0"/>
  </r>
  <r>
    <x v="53"/>
    <x v="19"/>
    <x v="3"/>
    <x v="0"/>
    <x v="38"/>
    <n v="392"/>
    <x v="108"/>
    <n v="3057.6000000000004"/>
    <x v="0"/>
  </r>
  <r>
    <x v="53"/>
    <x v="16"/>
    <x v="8"/>
    <x v="15"/>
    <x v="9"/>
    <n v="248"/>
    <x v="109"/>
    <n v="1041.6000000000001"/>
    <x v="2"/>
  </r>
  <r>
    <x v="54"/>
    <x v="6"/>
    <x v="9"/>
    <x v="3"/>
    <x v="6"/>
    <n v="398"/>
    <x v="110"/>
    <n v="2547.2000000000003"/>
    <x v="2"/>
  </r>
  <r>
    <x v="54"/>
    <x v="10"/>
    <x v="1"/>
    <x v="9"/>
    <x v="26"/>
    <n v="496"/>
    <x v="111"/>
    <n v="1488"/>
    <x v="2"/>
  </r>
  <r>
    <x v="54"/>
    <x v="18"/>
    <x v="3"/>
    <x v="6"/>
    <x v="23"/>
    <n v="262"/>
    <x v="112"/>
    <n v="2358"/>
    <x v="5"/>
  </r>
  <r>
    <x v="55"/>
    <x v="11"/>
    <x v="4"/>
    <x v="11"/>
    <x v="0"/>
    <n v="495"/>
    <x v="113"/>
    <n v="1881"/>
    <x v="10"/>
  </r>
  <r>
    <x v="56"/>
    <x v="4"/>
    <x v="7"/>
    <x v="11"/>
    <x v="23"/>
    <n v="420"/>
    <x v="114"/>
    <n v="3780"/>
    <x v="0"/>
  </r>
  <r>
    <x v="57"/>
    <x v="8"/>
    <x v="9"/>
    <x v="12"/>
    <x v="10"/>
    <n v="294"/>
    <x v="115"/>
    <n v="2469.6000000000004"/>
    <x v="3"/>
  </r>
  <r>
    <x v="57"/>
    <x v="0"/>
    <x v="0"/>
    <x v="12"/>
    <x v="37"/>
    <n v="348"/>
    <x v="116"/>
    <n v="3062.4"/>
    <x v="2"/>
  </r>
  <r>
    <x v="57"/>
    <x v="11"/>
    <x v="8"/>
    <x v="18"/>
    <x v="4"/>
    <n v="258"/>
    <x v="117"/>
    <n v="1444.8000000000002"/>
    <x v="3"/>
  </r>
  <r>
    <x v="58"/>
    <x v="7"/>
    <x v="5"/>
    <x v="0"/>
    <x v="22"/>
    <n v="235"/>
    <x v="3"/>
    <n v="1222"/>
    <x v="9"/>
  </r>
  <r>
    <x v="59"/>
    <x v="18"/>
    <x v="4"/>
    <x v="18"/>
    <x v="39"/>
    <n v="326"/>
    <x v="118"/>
    <n v="3129.6000000000004"/>
    <x v="11"/>
  </r>
  <r>
    <x v="59"/>
    <x v="1"/>
    <x v="6"/>
    <x v="5"/>
    <x v="26"/>
    <n v="350"/>
    <x v="119"/>
    <n v="1050"/>
    <x v="9"/>
  </r>
  <r>
    <x v="60"/>
    <x v="0"/>
    <x v="2"/>
    <x v="6"/>
    <x v="36"/>
    <n v="496"/>
    <x v="120"/>
    <n v="3968"/>
    <x v="6"/>
  </r>
  <r>
    <x v="60"/>
    <x v="5"/>
    <x v="4"/>
    <x v="15"/>
    <x v="5"/>
    <n v="215"/>
    <x v="121"/>
    <n v="1505"/>
    <x v="11"/>
  </r>
  <r>
    <x v="60"/>
    <x v="12"/>
    <x v="1"/>
    <x v="3"/>
    <x v="32"/>
    <n v="375"/>
    <x v="122"/>
    <n v="1200"/>
    <x v="2"/>
  </r>
  <r>
    <x v="61"/>
    <x v="4"/>
    <x v="6"/>
    <x v="16"/>
    <x v="40"/>
    <n v="270"/>
    <x v="123"/>
    <n v="1296"/>
    <x v="3"/>
  </r>
  <r>
    <x v="61"/>
    <x v="15"/>
    <x v="3"/>
    <x v="15"/>
    <x v="8"/>
    <n v="365"/>
    <x v="124"/>
    <n v="730"/>
    <x v="10"/>
  </r>
  <r>
    <x v="62"/>
    <x v="10"/>
    <x v="2"/>
    <x v="13"/>
    <x v="31"/>
    <n v="396"/>
    <x v="125"/>
    <n v="1346.4"/>
    <x v="13"/>
  </r>
  <r>
    <x v="62"/>
    <x v="16"/>
    <x v="2"/>
    <x v="3"/>
    <x v="10"/>
    <n v="335"/>
    <x v="126"/>
    <n v="2814"/>
    <x v="10"/>
  </r>
  <r>
    <x v="62"/>
    <x v="5"/>
    <x v="4"/>
    <x v="16"/>
    <x v="12"/>
    <n v="394"/>
    <x v="127"/>
    <n v="2600.4"/>
    <x v="11"/>
  </r>
  <r>
    <x v="62"/>
    <x v="12"/>
    <x v="3"/>
    <x v="8"/>
    <x v="17"/>
    <n v="256"/>
    <x v="128"/>
    <n v="1536"/>
    <x v="1"/>
  </r>
  <r>
    <x v="62"/>
    <x v="17"/>
    <x v="8"/>
    <x v="18"/>
    <x v="23"/>
    <n v="459"/>
    <x v="129"/>
    <n v="4131"/>
    <x v="2"/>
  </r>
  <r>
    <x v="63"/>
    <x v="4"/>
    <x v="0"/>
    <x v="8"/>
    <x v="16"/>
    <n v="249"/>
    <x v="130"/>
    <n v="1095.6000000000001"/>
    <x v="12"/>
  </r>
  <r>
    <x v="64"/>
    <x v="18"/>
    <x v="0"/>
    <x v="19"/>
    <x v="39"/>
    <n v="341"/>
    <x v="131"/>
    <n v="3273.6000000000004"/>
    <x v="5"/>
  </r>
  <r>
    <x v="64"/>
    <x v="7"/>
    <x v="0"/>
    <x v="5"/>
    <x v="36"/>
    <n v="253"/>
    <x v="132"/>
    <n v="2024"/>
    <x v="0"/>
  </r>
  <r>
    <x v="65"/>
    <x v="19"/>
    <x v="2"/>
    <x v="11"/>
    <x v="1"/>
    <n v="307"/>
    <x v="133"/>
    <n v="3070"/>
    <x v="13"/>
  </r>
  <r>
    <x v="65"/>
    <x v="11"/>
    <x v="8"/>
    <x v="6"/>
    <x v="7"/>
    <n v="384"/>
    <x v="134"/>
    <n v="2841.6000000000004"/>
    <x v="13"/>
  </r>
  <r>
    <x v="66"/>
    <x v="3"/>
    <x v="7"/>
    <x v="5"/>
    <x v="28"/>
    <n v="299"/>
    <x v="135"/>
    <n v="1495"/>
    <x v="3"/>
  </r>
  <r>
    <x v="66"/>
    <x v="10"/>
    <x v="4"/>
    <x v="11"/>
    <x v="37"/>
    <n v="392"/>
    <x v="136"/>
    <n v="3449.6000000000004"/>
    <x v="6"/>
  </r>
  <r>
    <x v="66"/>
    <x v="14"/>
    <x v="6"/>
    <x v="1"/>
    <x v="31"/>
    <n v="464"/>
    <x v="137"/>
    <n v="1577.6000000000001"/>
    <x v="9"/>
  </r>
  <r>
    <x v="67"/>
    <x v="3"/>
    <x v="3"/>
    <x v="0"/>
    <x v="35"/>
    <n v="246"/>
    <x v="138"/>
    <n v="1131.6000000000001"/>
    <x v="9"/>
  </r>
  <r>
    <x v="68"/>
    <x v="7"/>
    <x v="0"/>
    <x v="1"/>
    <x v="14"/>
    <n v="328"/>
    <x v="139"/>
    <n v="2230.4"/>
    <x v="4"/>
  </r>
  <r>
    <x v="68"/>
    <x v="13"/>
    <x v="4"/>
    <x v="2"/>
    <x v="34"/>
    <n v="365"/>
    <x v="140"/>
    <n v="1022"/>
    <x v="3"/>
  </r>
  <r>
    <x v="68"/>
    <x v="8"/>
    <x v="3"/>
    <x v="1"/>
    <x v="14"/>
    <n v="258"/>
    <x v="141"/>
    <n v="1754.4"/>
    <x v="3"/>
  </r>
  <r>
    <x v="69"/>
    <x v="3"/>
    <x v="0"/>
    <x v="5"/>
    <x v="37"/>
    <n v="425"/>
    <x v="142"/>
    <n v="3740"/>
    <x v="12"/>
  </r>
  <r>
    <x v="70"/>
    <x v="15"/>
    <x v="2"/>
    <x v="6"/>
    <x v="33"/>
    <n v="313"/>
    <x v="143"/>
    <n v="1690.2"/>
    <x v="13"/>
  </r>
  <r>
    <x v="70"/>
    <x v="11"/>
    <x v="6"/>
    <x v="10"/>
    <x v="37"/>
    <n v="396"/>
    <x v="144"/>
    <n v="3484.8"/>
    <x v="5"/>
  </r>
  <r>
    <x v="70"/>
    <x v="19"/>
    <x v="1"/>
    <x v="16"/>
    <x v="8"/>
    <n v="498"/>
    <x v="145"/>
    <n v="996"/>
    <x v="9"/>
  </r>
  <r>
    <x v="71"/>
    <x v="14"/>
    <x v="0"/>
    <x v="1"/>
    <x v="31"/>
    <n v="326"/>
    <x v="146"/>
    <n v="1108.4000000000001"/>
    <x v="13"/>
  </r>
  <r>
    <x v="72"/>
    <x v="10"/>
    <x v="4"/>
    <x v="0"/>
    <x v="24"/>
    <n v="288"/>
    <x v="147"/>
    <n v="1785.6000000000001"/>
    <x v="1"/>
  </r>
  <r>
    <x v="73"/>
    <x v="18"/>
    <x v="8"/>
    <x v="2"/>
    <x v="14"/>
    <n v="452"/>
    <x v="148"/>
    <n v="3073.6000000000004"/>
    <x v="1"/>
  </r>
  <r>
    <x v="74"/>
    <x v="3"/>
    <x v="6"/>
    <x v="3"/>
    <x v="30"/>
    <n v="409"/>
    <x v="149"/>
    <n v="981.6"/>
    <x v="4"/>
  </r>
  <r>
    <x v="75"/>
    <x v="14"/>
    <x v="9"/>
    <x v="15"/>
    <x v="10"/>
    <n v="429"/>
    <x v="150"/>
    <n v="3603.6000000000004"/>
    <x v="11"/>
  </r>
  <r>
    <x v="75"/>
    <x v="5"/>
    <x v="6"/>
    <x v="12"/>
    <x v="26"/>
    <n v="334"/>
    <x v="151"/>
    <n v="1002"/>
    <x v="10"/>
  </r>
  <r>
    <x v="75"/>
    <x v="6"/>
    <x v="1"/>
    <x v="3"/>
    <x v="7"/>
    <n v="402"/>
    <x v="152"/>
    <n v="2974.8"/>
    <x v="8"/>
  </r>
  <r>
    <x v="75"/>
    <x v="18"/>
    <x v="3"/>
    <x v="1"/>
    <x v="31"/>
    <n v="346"/>
    <x v="153"/>
    <n v="1176.4000000000001"/>
    <x v="6"/>
  </r>
  <r>
    <x v="76"/>
    <x v="8"/>
    <x v="5"/>
    <x v="17"/>
    <x v="17"/>
    <n v="303"/>
    <x v="154"/>
    <n v="1818"/>
    <x v="7"/>
  </r>
  <r>
    <x v="77"/>
    <x v="11"/>
    <x v="1"/>
    <x v="16"/>
    <x v="22"/>
    <n v="460"/>
    <x v="155"/>
    <n v="2392"/>
    <x v="6"/>
  </r>
  <r>
    <x v="78"/>
    <x v="1"/>
    <x v="2"/>
    <x v="17"/>
    <x v="9"/>
    <n v="346"/>
    <x v="156"/>
    <n v="1453.2"/>
    <x v="2"/>
  </r>
  <r>
    <x v="78"/>
    <x v="7"/>
    <x v="0"/>
    <x v="4"/>
    <x v="4"/>
    <n v="214"/>
    <x v="157"/>
    <n v="1198.4000000000001"/>
    <x v="8"/>
  </r>
  <r>
    <x v="79"/>
    <x v="11"/>
    <x v="7"/>
    <x v="14"/>
    <x v="6"/>
    <n v="370"/>
    <x v="158"/>
    <n v="2368"/>
    <x v="2"/>
  </r>
  <r>
    <x v="79"/>
    <x v="11"/>
    <x v="4"/>
    <x v="10"/>
    <x v="13"/>
    <n v="492"/>
    <x v="159"/>
    <n v="4034.4"/>
    <x v="7"/>
  </r>
  <r>
    <x v="79"/>
    <x v="16"/>
    <x v="8"/>
    <x v="6"/>
    <x v="8"/>
    <n v="353"/>
    <x v="160"/>
    <n v="706"/>
    <x v="5"/>
  </r>
  <r>
    <x v="80"/>
    <x v="2"/>
    <x v="2"/>
    <x v="6"/>
    <x v="22"/>
    <n v="347"/>
    <x v="161"/>
    <n v="1804.4"/>
    <x v="1"/>
  </r>
  <r>
    <x v="80"/>
    <x v="10"/>
    <x v="0"/>
    <x v="0"/>
    <x v="32"/>
    <n v="246"/>
    <x v="162"/>
    <n v="787.2"/>
    <x v="3"/>
  </r>
  <r>
    <x v="80"/>
    <x v="12"/>
    <x v="4"/>
    <x v="19"/>
    <x v="34"/>
    <n v="368"/>
    <x v="163"/>
    <n v="1030.4000000000001"/>
    <x v="12"/>
  </r>
  <r>
    <x v="81"/>
    <x v="1"/>
    <x v="9"/>
    <x v="16"/>
    <x v="35"/>
    <n v="438"/>
    <x v="164"/>
    <n v="2014.8000000000002"/>
    <x v="6"/>
  </r>
  <r>
    <x v="81"/>
    <x v="17"/>
    <x v="2"/>
    <x v="8"/>
    <x v="35"/>
    <n v="304"/>
    <x v="165"/>
    <n v="1398.4"/>
    <x v="13"/>
  </r>
  <r>
    <x v="81"/>
    <x v="6"/>
    <x v="7"/>
    <x v="19"/>
    <x v="13"/>
    <n v="264"/>
    <x v="166"/>
    <n v="2164.8000000000002"/>
    <x v="8"/>
  </r>
  <r>
    <x v="81"/>
    <x v="3"/>
    <x v="0"/>
    <x v="12"/>
    <x v="5"/>
    <n v="422"/>
    <x v="167"/>
    <n v="2954"/>
    <x v="7"/>
  </r>
  <r>
    <x v="81"/>
    <x v="15"/>
    <x v="4"/>
    <x v="0"/>
    <x v="3"/>
    <n v="348"/>
    <x v="168"/>
    <n v="904.80000000000007"/>
    <x v="12"/>
  </r>
  <r>
    <x v="81"/>
    <x v="17"/>
    <x v="1"/>
    <x v="0"/>
    <x v="25"/>
    <n v="309"/>
    <x v="169"/>
    <n v="1112.4000000000001"/>
    <x v="6"/>
  </r>
  <r>
    <x v="82"/>
    <x v="12"/>
    <x v="5"/>
    <x v="18"/>
    <x v="6"/>
    <n v="382"/>
    <x v="170"/>
    <n v="2444.8000000000002"/>
    <x v="6"/>
  </r>
  <r>
    <x v="82"/>
    <x v="15"/>
    <x v="4"/>
    <x v="14"/>
    <x v="0"/>
    <n v="490"/>
    <x v="171"/>
    <n v="1862"/>
    <x v="8"/>
  </r>
  <r>
    <x v="82"/>
    <x v="13"/>
    <x v="8"/>
    <x v="12"/>
    <x v="11"/>
    <n v="313"/>
    <x v="172"/>
    <n v="2378.8000000000002"/>
    <x v="8"/>
  </r>
  <r>
    <x v="82"/>
    <x v="0"/>
    <x v="8"/>
    <x v="2"/>
    <x v="25"/>
    <n v="214"/>
    <x v="173"/>
    <n v="770.40000000000009"/>
    <x v="3"/>
  </r>
  <r>
    <x v="83"/>
    <x v="6"/>
    <x v="7"/>
    <x v="9"/>
    <x v="0"/>
    <n v="430"/>
    <x v="174"/>
    <n v="1634"/>
    <x v="2"/>
  </r>
  <r>
    <x v="83"/>
    <x v="17"/>
    <x v="4"/>
    <x v="13"/>
    <x v="16"/>
    <n v="325"/>
    <x v="175"/>
    <n v="1430"/>
    <x v="12"/>
  </r>
  <r>
    <x v="84"/>
    <x v="11"/>
    <x v="9"/>
    <x v="18"/>
    <x v="10"/>
    <n v="384"/>
    <x v="176"/>
    <n v="3225.6000000000004"/>
    <x v="11"/>
  </r>
  <r>
    <x v="84"/>
    <x v="0"/>
    <x v="8"/>
    <x v="17"/>
    <x v="14"/>
    <n v="481"/>
    <x v="177"/>
    <n v="3270.8"/>
    <x v="12"/>
  </r>
  <r>
    <x v="84"/>
    <x v="0"/>
    <x v="8"/>
    <x v="7"/>
    <x v="22"/>
    <n v="324"/>
    <x v="178"/>
    <n v="1684.8000000000002"/>
    <x v="11"/>
  </r>
  <r>
    <x v="85"/>
    <x v="16"/>
    <x v="9"/>
    <x v="6"/>
    <x v="32"/>
    <n v="432"/>
    <x v="179"/>
    <n v="1382.4"/>
    <x v="5"/>
  </r>
  <r>
    <x v="85"/>
    <x v="12"/>
    <x v="4"/>
    <x v="12"/>
    <x v="19"/>
    <n v="344"/>
    <x v="180"/>
    <n v="756.80000000000007"/>
    <x v="13"/>
  </r>
  <r>
    <x v="86"/>
    <x v="5"/>
    <x v="9"/>
    <x v="17"/>
    <x v="2"/>
    <n v="256"/>
    <x v="181"/>
    <n v="1484.8000000000002"/>
    <x v="5"/>
  </r>
  <r>
    <x v="86"/>
    <x v="7"/>
    <x v="5"/>
    <x v="12"/>
    <x v="9"/>
    <n v="415"/>
    <x v="182"/>
    <n v="1743"/>
    <x v="7"/>
  </r>
  <r>
    <x v="87"/>
    <x v="16"/>
    <x v="3"/>
    <x v="13"/>
    <x v="4"/>
    <n v="420"/>
    <x v="183"/>
    <n v="2352"/>
    <x v="9"/>
  </r>
  <r>
    <x v="88"/>
    <x v="12"/>
    <x v="9"/>
    <x v="15"/>
    <x v="0"/>
    <n v="409"/>
    <x v="184"/>
    <n v="1554.2"/>
    <x v="2"/>
  </r>
  <r>
    <x v="89"/>
    <x v="13"/>
    <x v="7"/>
    <x v="14"/>
    <x v="12"/>
    <n v="218"/>
    <x v="185"/>
    <n v="1438.8000000000002"/>
    <x v="3"/>
  </r>
  <r>
    <x v="89"/>
    <x v="11"/>
    <x v="5"/>
    <x v="5"/>
    <x v="29"/>
    <n v="282"/>
    <x v="186"/>
    <n v="1128"/>
    <x v="4"/>
  </r>
  <r>
    <x v="90"/>
    <x v="3"/>
    <x v="0"/>
    <x v="16"/>
    <x v="37"/>
    <n v="364"/>
    <x v="103"/>
    <n v="3203.2000000000003"/>
    <x v="0"/>
  </r>
  <r>
    <x v="90"/>
    <x v="0"/>
    <x v="4"/>
    <x v="18"/>
    <x v="32"/>
    <n v="346"/>
    <x v="187"/>
    <n v="1107.2"/>
    <x v="5"/>
  </r>
  <r>
    <x v="91"/>
    <x v="3"/>
    <x v="2"/>
    <x v="11"/>
    <x v="32"/>
    <n v="224"/>
    <x v="188"/>
    <n v="716.80000000000007"/>
    <x v="3"/>
  </r>
  <r>
    <x v="91"/>
    <x v="18"/>
    <x v="7"/>
    <x v="16"/>
    <x v="13"/>
    <n v="458"/>
    <x v="189"/>
    <n v="3755.6000000000004"/>
    <x v="13"/>
  </r>
  <r>
    <x v="91"/>
    <x v="18"/>
    <x v="7"/>
    <x v="17"/>
    <x v="37"/>
    <n v="264"/>
    <x v="190"/>
    <n v="2323.2000000000003"/>
    <x v="11"/>
  </r>
  <r>
    <x v="92"/>
    <x v="7"/>
    <x v="9"/>
    <x v="18"/>
    <x v="29"/>
    <n v="445"/>
    <x v="191"/>
    <n v="1780"/>
    <x v="8"/>
  </r>
  <r>
    <x v="92"/>
    <x v="12"/>
    <x v="2"/>
    <x v="9"/>
    <x v="2"/>
    <n v="236"/>
    <x v="192"/>
    <n v="1368.8000000000002"/>
    <x v="11"/>
  </r>
  <r>
    <x v="92"/>
    <x v="15"/>
    <x v="5"/>
    <x v="10"/>
    <x v="31"/>
    <n v="257"/>
    <x v="193"/>
    <n v="873.80000000000007"/>
    <x v="9"/>
  </r>
  <r>
    <x v="92"/>
    <x v="4"/>
    <x v="4"/>
    <x v="18"/>
    <x v="40"/>
    <n v="286"/>
    <x v="194"/>
    <n v="1372.8000000000002"/>
    <x v="4"/>
  </r>
  <r>
    <x v="92"/>
    <x v="9"/>
    <x v="3"/>
    <x v="4"/>
    <x v="2"/>
    <n v="322"/>
    <x v="195"/>
    <n v="1867.6000000000001"/>
    <x v="2"/>
  </r>
  <r>
    <x v="93"/>
    <x v="14"/>
    <x v="2"/>
    <x v="13"/>
    <x v="11"/>
    <n v="499"/>
    <x v="196"/>
    <n v="3792.4"/>
    <x v="3"/>
  </r>
  <r>
    <x v="94"/>
    <x v="5"/>
    <x v="3"/>
    <x v="12"/>
    <x v="20"/>
    <n v="272"/>
    <x v="197"/>
    <n v="2502.4"/>
    <x v="2"/>
  </r>
  <r>
    <x v="95"/>
    <x v="12"/>
    <x v="1"/>
    <x v="10"/>
    <x v="15"/>
    <n v="376"/>
    <x v="198"/>
    <n v="2707.2000000000003"/>
    <x v="4"/>
  </r>
  <r>
    <x v="96"/>
    <x v="16"/>
    <x v="0"/>
    <x v="19"/>
    <x v="23"/>
    <n v="376"/>
    <x v="199"/>
    <n v="3384"/>
    <x v="12"/>
  </r>
  <r>
    <x v="96"/>
    <x v="8"/>
    <x v="8"/>
    <x v="19"/>
    <x v="7"/>
    <n v="237"/>
    <x v="200"/>
    <n v="1753.8000000000002"/>
    <x v="3"/>
  </r>
  <r>
    <x v="97"/>
    <x v="2"/>
    <x v="3"/>
    <x v="1"/>
    <x v="10"/>
    <n v="487"/>
    <x v="201"/>
    <n v="4090.8"/>
    <x v="10"/>
  </r>
  <r>
    <x v="98"/>
    <x v="17"/>
    <x v="6"/>
    <x v="15"/>
    <x v="24"/>
    <n v="358"/>
    <x v="202"/>
    <n v="2219.6"/>
    <x v="7"/>
  </r>
  <r>
    <x v="99"/>
    <x v="14"/>
    <x v="1"/>
    <x v="11"/>
    <x v="12"/>
    <n v="313"/>
    <x v="203"/>
    <n v="2065.8000000000002"/>
    <x v="6"/>
  </r>
  <r>
    <x v="99"/>
    <x v="3"/>
    <x v="8"/>
    <x v="1"/>
    <x v="1"/>
    <n v="385"/>
    <x v="204"/>
    <n v="3850"/>
    <x v="0"/>
  </r>
  <r>
    <x v="100"/>
    <x v="9"/>
    <x v="9"/>
    <x v="0"/>
    <x v="19"/>
    <n v="232"/>
    <x v="205"/>
    <n v="510.40000000000003"/>
    <x v="7"/>
  </r>
  <r>
    <x v="101"/>
    <x v="12"/>
    <x v="3"/>
    <x v="13"/>
    <x v="6"/>
    <n v="375"/>
    <x v="206"/>
    <n v="2400"/>
    <x v="3"/>
  </r>
  <r>
    <x v="102"/>
    <x v="17"/>
    <x v="0"/>
    <x v="17"/>
    <x v="31"/>
    <n v="308"/>
    <x v="207"/>
    <n v="1047.2"/>
    <x v="8"/>
  </r>
  <r>
    <x v="102"/>
    <x v="0"/>
    <x v="1"/>
    <x v="18"/>
    <x v="27"/>
    <n v="290"/>
    <x v="208"/>
    <n v="2726"/>
    <x v="10"/>
  </r>
  <r>
    <x v="103"/>
    <x v="15"/>
    <x v="9"/>
    <x v="13"/>
    <x v="5"/>
    <n v="409"/>
    <x v="209"/>
    <n v="2863"/>
    <x v="2"/>
  </r>
  <r>
    <x v="104"/>
    <x v="19"/>
    <x v="9"/>
    <x v="3"/>
    <x v="31"/>
    <n v="233"/>
    <x v="210"/>
    <n v="792.2"/>
    <x v="5"/>
  </r>
  <r>
    <x v="105"/>
    <x v="10"/>
    <x v="8"/>
    <x v="5"/>
    <x v="11"/>
    <n v="207"/>
    <x v="211"/>
    <n v="1573.2"/>
    <x v="7"/>
  </r>
  <r>
    <x v="106"/>
    <x v="12"/>
    <x v="6"/>
    <x v="13"/>
    <x v="6"/>
    <n v="371"/>
    <x v="212"/>
    <n v="2374.4"/>
    <x v="5"/>
  </r>
  <r>
    <x v="106"/>
    <x v="12"/>
    <x v="8"/>
    <x v="0"/>
    <x v="3"/>
    <n v="239"/>
    <x v="213"/>
    <n v="621.40000000000009"/>
    <x v="1"/>
  </r>
  <r>
    <x v="107"/>
    <x v="4"/>
    <x v="0"/>
    <x v="7"/>
    <x v="40"/>
    <n v="242"/>
    <x v="214"/>
    <n v="1161.6000000000001"/>
    <x v="9"/>
  </r>
  <r>
    <x v="107"/>
    <x v="19"/>
    <x v="6"/>
    <x v="16"/>
    <x v="11"/>
    <n v="363"/>
    <x v="215"/>
    <n v="2758.8"/>
    <x v="0"/>
  </r>
  <r>
    <x v="108"/>
    <x v="17"/>
    <x v="4"/>
    <x v="9"/>
    <x v="3"/>
    <n v="298"/>
    <x v="216"/>
    <n v="774.80000000000007"/>
    <x v="0"/>
  </r>
  <r>
    <x v="109"/>
    <x v="7"/>
    <x v="2"/>
    <x v="8"/>
    <x v="31"/>
    <n v="215"/>
    <x v="217"/>
    <n v="731"/>
    <x v="7"/>
  </r>
  <r>
    <x v="109"/>
    <x v="11"/>
    <x v="8"/>
    <x v="9"/>
    <x v="19"/>
    <n v="246"/>
    <x v="218"/>
    <n v="541.20000000000005"/>
    <x v="11"/>
  </r>
  <r>
    <x v="110"/>
    <x v="4"/>
    <x v="4"/>
    <x v="16"/>
    <x v="16"/>
    <n v="332"/>
    <x v="219"/>
    <n v="1460.8000000000002"/>
    <x v="11"/>
  </r>
  <r>
    <x v="110"/>
    <x v="15"/>
    <x v="4"/>
    <x v="3"/>
    <x v="18"/>
    <n v="285"/>
    <x v="220"/>
    <n v="2451"/>
    <x v="5"/>
  </r>
  <r>
    <x v="111"/>
    <x v="19"/>
    <x v="6"/>
    <x v="3"/>
    <x v="14"/>
    <n v="338"/>
    <x v="221"/>
    <n v="2298.4"/>
    <x v="12"/>
  </r>
  <r>
    <x v="111"/>
    <x v="15"/>
    <x v="3"/>
    <x v="15"/>
    <x v="3"/>
    <n v="409"/>
    <x v="222"/>
    <n v="1063.4000000000001"/>
    <x v="9"/>
  </r>
  <r>
    <x v="112"/>
    <x v="2"/>
    <x v="4"/>
    <x v="14"/>
    <x v="22"/>
    <n v="472"/>
    <x v="223"/>
    <n v="2454.4"/>
    <x v="8"/>
  </r>
  <r>
    <x v="112"/>
    <x v="11"/>
    <x v="8"/>
    <x v="5"/>
    <x v="10"/>
    <n v="465"/>
    <x v="224"/>
    <n v="3906"/>
    <x v="1"/>
  </r>
  <r>
    <x v="113"/>
    <x v="14"/>
    <x v="7"/>
    <x v="11"/>
    <x v="37"/>
    <n v="340"/>
    <x v="225"/>
    <n v="2992"/>
    <x v="2"/>
  </r>
  <r>
    <x v="113"/>
    <x v="10"/>
    <x v="3"/>
    <x v="0"/>
    <x v="19"/>
    <n v="310"/>
    <x v="226"/>
    <n v="682"/>
    <x v="3"/>
  </r>
  <r>
    <x v="114"/>
    <x v="19"/>
    <x v="5"/>
    <x v="14"/>
    <x v="38"/>
    <n v="342"/>
    <x v="227"/>
    <n v="2667.6000000000004"/>
    <x v="5"/>
  </r>
  <r>
    <x v="114"/>
    <x v="9"/>
    <x v="6"/>
    <x v="3"/>
    <x v="35"/>
    <n v="303"/>
    <x v="228"/>
    <n v="1393.8000000000002"/>
    <x v="11"/>
  </r>
  <r>
    <x v="115"/>
    <x v="3"/>
    <x v="5"/>
    <x v="2"/>
    <x v="32"/>
    <n v="245"/>
    <x v="229"/>
    <n v="784"/>
    <x v="1"/>
  </r>
  <r>
    <x v="116"/>
    <x v="11"/>
    <x v="0"/>
    <x v="1"/>
    <x v="2"/>
    <n v="500"/>
    <x v="230"/>
    <n v="2900"/>
    <x v="11"/>
  </r>
  <r>
    <x v="117"/>
    <x v="17"/>
    <x v="4"/>
    <x v="19"/>
    <x v="28"/>
    <n v="417"/>
    <x v="231"/>
    <n v="2085"/>
    <x v="7"/>
  </r>
  <r>
    <x v="117"/>
    <x v="9"/>
    <x v="1"/>
    <x v="16"/>
    <x v="5"/>
    <n v="335"/>
    <x v="232"/>
    <n v="2345"/>
    <x v="4"/>
  </r>
  <r>
    <x v="118"/>
    <x v="6"/>
    <x v="9"/>
    <x v="6"/>
    <x v="2"/>
    <n v="298"/>
    <x v="233"/>
    <n v="1728.4"/>
    <x v="13"/>
  </r>
  <r>
    <x v="119"/>
    <x v="1"/>
    <x v="2"/>
    <x v="18"/>
    <x v="26"/>
    <n v="356"/>
    <x v="234"/>
    <n v="1068"/>
    <x v="9"/>
  </r>
  <r>
    <x v="120"/>
    <x v="8"/>
    <x v="7"/>
    <x v="9"/>
    <x v="16"/>
    <n v="437"/>
    <x v="235"/>
    <n v="1922.8000000000002"/>
    <x v="0"/>
  </r>
  <r>
    <x v="120"/>
    <x v="10"/>
    <x v="5"/>
    <x v="10"/>
    <x v="6"/>
    <n v="377"/>
    <x v="236"/>
    <n v="2412.8000000000002"/>
    <x v="12"/>
  </r>
  <r>
    <x v="121"/>
    <x v="12"/>
    <x v="1"/>
    <x v="0"/>
    <x v="25"/>
    <n v="487"/>
    <x v="70"/>
    <n v="1753.2"/>
    <x v="7"/>
  </r>
  <r>
    <x v="121"/>
    <x v="7"/>
    <x v="1"/>
    <x v="1"/>
    <x v="36"/>
    <n v="287"/>
    <x v="237"/>
    <n v="2296"/>
    <x v="3"/>
  </r>
  <r>
    <x v="122"/>
    <x v="13"/>
    <x v="8"/>
    <x v="2"/>
    <x v="4"/>
    <n v="358"/>
    <x v="238"/>
    <n v="2004.8000000000002"/>
    <x v="13"/>
  </r>
  <r>
    <x v="123"/>
    <x v="13"/>
    <x v="2"/>
    <x v="0"/>
    <x v="28"/>
    <n v="219"/>
    <x v="239"/>
    <n v="1095"/>
    <x v="1"/>
  </r>
  <r>
    <x v="124"/>
    <x v="0"/>
    <x v="9"/>
    <x v="10"/>
    <x v="21"/>
    <n v="397"/>
    <x v="240"/>
    <n v="3890.6000000000004"/>
    <x v="8"/>
  </r>
  <r>
    <x v="124"/>
    <x v="14"/>
    <x v="2"/>
    <x v="0"/>
    <x v="30"/>
    <n v="434"/>
    <x v="109"/>
    <n v="1041.6000000000001"/>
    <x v="10"/>
  </r>
  <r>
    <x v="124"/>
    <x v="18"/>
    <x v="1"/>
    <x v="5"/>
    <x v="26"/>
    <n v="460"/>
    <x v="241"/>
    <n v="1380"/>
    <x v="1"/>
  </r>
  <r>
    <x v="125"/>
    <x v="16"/>
    <x v="2"/>
    <x v="11"/>
    <x v="13"/>
    <n v="232"/>
    <x v="242"/>
    <n v="1902.4"/>
    <x v="10"/>
  </r>
  <r>
    <x v="125"/>
    <x v="9"/>
    <x v="4"/>
    <x v="0"/>
    <x v="19"/>
    <n v="421"/>
    <x v="243"/>
    <n v="926.2"/>
    <x v="6"/>
  </r>
  <r>
    <x v="126"/>
    <x v="10"/>
    <x v="0"/>
    <x v="8"/>
    <x v="23"/>
    <n v="222"/>
    <x v="244"/>
    <n v="1998"/>
    <x v="10"/>
  </r>
  <r>
    <x v="126"/>
    <x v="9"/>
    <x v="5"/>
    <x v="19"/>
    <x v="32"/>
    <n v="485"/>
    <x v="245"/>
    <n v="1552"/>
    <x v="12"/>
  </r>
  <r>
    <x v="126"/>
    <x v="19"/>
    <x v="1"/>
    <x v="3"/>
    <x v="8"/>
    <n v="426"/>
    <x v="246"/>
    <n v="852"/>
    <x v="6"/>
  </r>
  <r>
    <x v="127"/>
    <x v="4"/>
    <x v="8"/>
    <x v="3"/>
    <x v="18"/>
    <n v="396"/>
    <x v="247"/>
    <n v="3405.6000000000004"/>
    <x v="2"/>
  </r>
  <r>
    <x v="128"/>
    <x v="6"/>
    <x v="6"/>
    <x v="17"/>
    <x v="32"/>
    <n v="471"/>
    <x v="248"/>
    <n v="1507.2"/>
    <x v="2"/>
  </r>
  <r>
    <x v="128"/>
    <x v="15"/>
    <x v="6"/>
    <x v="3"/>
    <x v="38"/>
    <n v="453"/>
    <x v="249"/>
    <n v="3533.4"/>
    <x v="9"/>
  </r>
  <r>
    <x v="128"/>
    <x v="8"/>
    <x v="1"/>
    <x v="1"/>
    <x v="11"/>
    <n v="291"/>
    <x v="250"/>
    <n v="2211.6"/>
    <x v="1"/>
  </r>
  <r>
    <x v="128"/>
    <x v="7"/>
    <x v="3"/>
    <x v="12"/>
    <x v="36"/>
    <n v="349"/>
    <x v="251"/>
    <n v="2792"/>
    <x v="5"/>
  </r>
  <r>
    <x v="129"/>
    <x v="3"/>
    <x v="9"/>
    <x v="16"/>
    <x v="31"/>
    <n v="281"/>
    <x v="252"/>
    <n v="955.40000000000009"/>
    <x v="3"/>
  </r>
  <r>
    <x v="130"/>
    <x v="10"/>
    <x v="3"/>
    <x v="0"/>
    <x v="0"/>
    <n v="430"/>
    <x v="174"/>
    <n v="1634"/>
    <x v="8"/>
  </r>
  <r>
    <x v="131"/>
    <x v="7"/>
    <x v="9"/>
    <x v="9"/>
    <x v="16"/>
    <n v="399"/>
    <x v="253"/>
    <n v="1755.6000000000001"/>
    <x v="3"/>
  </r>
  <r>
    <x v="131"/>
    <x v="9"/>
    <x v="2"/>
    <x v="14"/>
    <x v="14"/>
    <n v="351"/>
    <x v="254"/>
    <n v="2386.8000000000002"/>
    <x v="5"/>
  </r>
  <r>
    <x v="131"/>
    <x v="16"/>
    <x v="7"/>
    <x v="18"/>
    <x v="25"/>
    <n v="279"/>
    <x v="255"/>
    <n v="1004.4000000000001"/>
    <x v="4"/>
  </r>
  <r>
    <x v="132"/>
    <x v="16"/>
    <x v="9"/>
    <x v="6"/>
    <x v="6"/>
    <n v="372"/>
    <x v="256"/>
    <n v="2380.8000000000002"/>
    <x v="1"/>
  </r>
  <r>
    <x v="132"/>
    <x v="19"/>
    <x v="7"/>
    <x v="3"/>
    <x v="16"/>
    <n v="499"/>
    <x v="20"/>
    <n v="2195.6"/>
    <x v="12"/>
  </r>
  <r>
    <x v="132"/>
    <x v="2"/>
    <x v="1"/>
    <x v="3"/>
    <x v="3"/>
    <n v="350"/>
    <x v="257"/>
    <n v="910"/>
    <x v="13"/>
  </r>
  <r>
    <x v="133"/>
    <x v="1"/>
    <x v="4"/>
    <x v="2"/>
    <x v="9"/>
    <n v="491"/>
    <x v="258"/>
    <n v="2062.2000000000003"/>
    <x v="11"/>
  </r>
  <r>
    <x v="134"/>
    <x v="14"/>
    <x v="9"/>
    <x v="9"/>
    <x v="20"/>
    <n v="435"/>
    <x v="259"/>
    <n v="4002"/>
    <x v="9"/>
  </r>
  <r>
    <x v="134"/>
    <x v="13"/>
    <x v="1"/>
    <x v="10"/>
    <x v="36"/>
    <n v="362"/>
    <x v="260"/>
    <n v="2896"/>
    <x v="0"/>
  </r>
  <r>
    <x v="134"/>
    <x v="5"/>
    <x v="3"/>
    <x v="13"/>
    <x v="15"/>
    <n v="305"/>
    <x v="261"/>
    <n v="2196"/>
    <x v="2"/>
  </r>
  <r>
    <x v="135"/>
    <x v="13"/>
    <x v="9"/>
    <x v="2"/>
    <x v="13"/>
    <n v="295"/>
    <x v="262"/>
    <n v="2419"/>
    <x v="10"/>
  </r>
  <r>
    <x v="135"/>
    <x v="7"/>
    <x v="2"/>
    <x v="6"/>
    <x v="32"/>
    <n v="237"/>
    <x v="263"/>
    <n v="758.40000000000009"/>
    <x v="12"/>
  </r>
  <r>
    <x v="136"/>
    <x v="1"/>
    <x v="2"/>
    <x v="6"/>
    <x v="17"/>
    <n v="474"/>
    <x v="264"/>
    <n v="2844"/>
    <x v="12"/>
  </r>
  <r>
    <x v="137"/>
    <x v="18"/>
    <x v="5"/>
    <x v="11"/>
    <x v="0"/>
    <n v="350"/>
    <x v="265"/>
    <n v="1330"/>
    <x v="13"/>
  </r>
  <r>
    <x v="138"/>
    <x v="1"/>
    <x v="2"/>
    <x v="14"/>
    <x v="11"/>
    <n v="368"/>
    <x v="266"/>
    <n v="2796.8"/>
    <x v="4"/>
  </r>
  <r>
    <x v="139"/>
    <x v="3"/>
    <x v="4"/>
    <x v="16"/>
    <x v="4"/>
    <n v="353"/>
    <x v="267"/>
    <n v="1976.8000000000002"/>
    <x v="2"/>
  </r>
  <r>
    <x v="140"/>
    <x v="18"/>
    <x v="2"/>
    <x v="16"/>
    <x v="22"/>
    <n v="374"/>
    <x v="268"/>
    <n v="1944.8000000000002"/>
    <x v="8"/>
  </r>
  <r>
    <x v="141"/>
    <x v="1"/>
    <x v="9"/>
    <x v="13"/>
    <x v="36"/>
    <n v="213"/>
    <x v="269"/>
    <n v="1704"/>
    <x v="1"/>
  </r>
  <r>
    <x v="141"/>
    <x v="18"/>
    <x v="2"/>
    <x v="2"/>
    <x v="26"/>
    <n v="201"/>
    <x v="270"/>
    <n v="603"/>
    <x v="11"/>
  </r>
  <r>
    <x v="141"/>
    <x v="16"/>
    <x v="6"/>
    <x v="5"/>
    <x v="39"/>
    <n v="284"/>
    <x v="271"/>
    <n v="2726.4"/>
    <x v="2"/>
  </r>
  <r>
    <x v="142"/>
    <x v="12"/>
    <x v="9"/>
    <x v="11"/>
    <x v="0"/>
    <n v="447"/>
    <x v="272"/>
    <n v="1698.6000000000001"/>
    <x v="8"/>
  </r>
  <r>
    <x v="143"/>
    <x v="17"/>
    <x v="5"/>
    <x v="7"/>
    <x v="22"/>
    <n v="455"/>
    <x v="273"/>
    <n v="2366"/>
    <x v="0"/>
  </r>
  <r>
    <x v="143"/>
    <x v="16"/>
    <x v="4"/>
    <x v="14"/>
    <x v="16"/>
    <n v="332"/>
    <x v="219"/>
    <n v="1460.8000000000002"/>
    <x v="3"/>
  </r>
  <r>
    <x v="143"/>
    <x v="18"/>
    <x v="1"/>
    <x v="16"/>
    <x v="31"/>
    <n v="484"/>
    <x v="274"/>
    <n v="1645.6000000000001"/>
    <x v="3"/>
  </r>
  <r>
    <x v="144"/>
    <x v="14"/>
    <x v="0"/>
    <x v="6"/>
    <x v="8"/>
    <n v="311"/>
    <x v="275"/>
    <n v="622"/>
    <x v="11"/>
  </r>
  <r>
    <x v="145"/>
    <x v="0"/>
    <x v="7"/>
    <x v="8"/>
    <x v="16"/>
    <n v="367"/>
    <x v="276"/>
    <n v="1614.8000000000002"/>
    <x v="0"/>
  </r>
  <r>
    <x v="145"/>
    <x v="7"/>
    <x v="7"/>
    <x v="9"/>
    <x v="31"/>
    <n v="235"/>
    <x v="277"/>
    <n v="799"/>
    <x v="12"/>
  </r>
  <r>
    <x v="145"/>
    <x v="18"/>
    <x v="8"/>
    <x v="13"/>
    <x v="32"/>
    <n v="325"/>
    <x v="278"/>
    <n v="1040"/>
    <x v="13"/>
  </r>
  <r>
    <x v="146"/>
    <x v="18"/>
    <x v="0"/>
    <x v="19"/>
    <x v="14"/>
    <n v="448"/>
    <x v="279"/>
    <n v="3046.4"/>
    <x v="6"/>
  </r>
  <r>
    <x v="147"/>
    <x v="4"/>
    <x v="2"/>
    <x v="14"/>
    <x v="3"/>
    <n v="339"/>
    <x v="280"/>
    <n v="881.40000000000009"/>
    <x v="5"/>
  </r>
  <r>
    <x v="148"/>
    <x v="1"/>
    <x v="2"/>
    <x v="5"/>
    <x v="22"/>
    <n v="291"/>
    <x v="281"/>
    <n v="1513.2"/>
    <x v="8"/>
  </r>
  <r>
    <x v="149"/>
    <x v="0"/>
    <x v="9"/>
    <x v="13"/>
    <x v="10"/>
    <n v="318"/>
    <x v="282"/>
    <n v="2671.2000000000003"/>
    <x v="9"/>
  </r>
  <r>
    <x v="150"/>
    <x v="6"/>
    <x v="9"/>
    <x v="13"/>
    <x v="26"/>
    <n v="469"/>
    <x v="283"/>
    <n v="1407"/>
    <x v="11"/>
  </r>
  <r>
    <x v="150"/>
    <x v="6"/>
    <x v="9"/>
    <x v="1"/>
    <x v="35"/>
    <n v="336"/>
    <x v="284"/>
    <n v="1545.6000000000001"/>
    <x v="13"/>
  </r>
  <r>
    <x v="150"/>
    <x v="16"/>
    <x v="6"/>
    <x v="11"/>
    <x v="16"/>
    <n v="320"/>
    <x v="285"/>
    <n v="1408"/>
    <x v="11"/>
  </r>
  <r>
    <x v="151"/>
    <x v="9"/>
    <x v="0"/>
    <x v="10"/>
    <x v="0"/>
    <n v="423"/>
    <x v="286"/>
    <n v="1607.4"/>
    <x v="12"/>
  </r>
  <r>
    <x v="152"/>
    <x v="7"/>
    <x v="7"/>
    <x v="13"/>
    <x v="1"/>
    <n v="356"/>
    <x v="287"/>
    <n v="3560"/>
    <x v="0"/>
  </r>
  <r>
    <x v="153"/>
    <x v="2"/>
    <x v="2"/>
    <x v="13"/>
    <x v="32"/>
    <n v="290"/>
    <x v="288"/>
    <n v="928"/>
    <x v="9"/>
  </r>
  <r>
    <x v="153"/>
    <x v="15"/>
    <x v="7"/>
    <x v="19"/>
    <x v="23"/>
    <n v="262"/>
    <x v="112"/>
    <n v="2358"/>
    <x v="11"/>
  </r>
  <r>
    <x v="154"/>
    <x v="15"/>
    <x v="7"/>
    <x v="1"/>
    <x v="33"/>
    <n v="426"/>
    <x v="289"/>
    <n v="2300.4"/>
    <x v="12"/>
  </r>
  <r>
    <x v="155"/>
    <x v="5"/>
    <x v="9"/>
    <x v="14"/>
    <x v="16"/>
    <n v="377"/>
    <x v="290"/>
    <n v="1658.8000000000002"/>
    <x v="0"/>
  </r>
  <r>
    <x v="155"/>
    <x v="0"/>
    <x v="3"/>
    <x v="14"/>
    <x v="40"/>
    <n v="386"/>
    <x v="291"/>
    <n v="1852.8000000000002"/>
    <x v="11"/>
  </r>
  <r>
    <x v="156"/>
    <x v="17"/>
    <x v="0"/>
    <x v="14"/>
    <x v="25"/>
    <n v="214"/>
    <x v="173"/>
    <n v="770.40000000000009"/>
    <x v="4"/>
  </r>
  <r>
    <x v="157"/>
    <x v="9"/>
    <x v="6"/>
    <x v="16"/>
    <x v="26"/>
    <n v="372"/>
    <x v="292"/>
    <n v="1116"/>
    <x v="8"/>
  </r>
  <r>
    <x v="157"/>
    <x v="11"/>
    <x v="1"/>
    <x v="5"/>
    <x v="27"/>
    <n v="389"/>
    <x v="293"/>
    <n v="3656.6000000000004"/>
    <x v="2"/>
  </r>
  <r>
    <x v="158"/>
    <x v="4"/>
    <x v="0"/>
    <x v="15"/>
    <x v="14"/>
    <n v="336"/>
    <x v="294"/>
    <n v="2284.8000000000002"/>
    <x v="11"/>
  </r>
  <r>
    <x v="159"/>
    <x v="12"/>
    <x v="6"/>
    <x v="18"/>
    <x v="11"/>
    <n v="257"/>
    <x v="295"/>
    <n v="1953.2"/>
    <x v="3"/>
  </r>
  <r>
    <x v="160"/>
    <x v="1"/>
    <x v="3"/>
    <x v="19"/>
    <x v="22"/>
    <n v="237"/>
    <x v="296"/>
    <n v="1232.4000000000001"/>
    <x v="7"/>
  </r>
  <r>
    <x v="161"/>
    <x v="6"/>
    <x v="7"/>
    <x v="14"/>
    <x v="9"/>
    <n v="295"/>
    <x v="297"/>
    <n v="1239"/>
    <x v="13"/>
  </r>
  <r>
    <x v="161"/>
    <x v="11"/>
    <x v="3"/>
    <x v="4"/>
    <x v="15"/>
    <n v="442"/>
    <x v="298"/>
    <n v="3182.4"/>
    <x v="6"/>
  </r>
  <r>
    <x v="162"/>
    <x v="6"/>
    <x v="0"/>
    <x v="0"/>
    <x v="1"/>
    <n v="232"/>
    <x v="299"/>
    <n v="2320"/>
    <x v="3"/>
  </r>
  <r>
    <x v="163"/>
    <x v="1"/>
    <x v="9"/>
    <x v="7"/>
    <x v="6"/>
    <n v="411"/>
    <x v="7"/>
    <n v="2630.4"/>
    <x v="9"/>
  </r>
  <r>
    <x v="163"/>
    <x v="6"/>
    <x v="7"/>
    <x v="8"/>
    <x v="8"/>
    <n v="337"/>
    <x v="300"/>
    <n v="674"/>
    <x v="5"/>
  </r>
  <r>
    <x v="163"/>
    <x v="16"/>
    <x v="0"/>
    <x v="8"/>
    <x v="15"/>
    <n v="262"/>
    <x v="301"/>
    <n v="1886.4"/>
    <x v="8"/>
  </r>
  <r>
    <x v="163"/>
    <x v="2"/>
    <x v="5"/>
    <x v="6"/>
    <x v="34"/>
    <n v="200"/>
    <x v="302"/>
    <n v="560"/>
    <x v="1"/>
  </r>
  <r>
    <x v="164"/>
    <x v="14"/>
    <x v="5"/>
    <x v="18"/>
    <x v="1"/>
    <n v="411"/>
    <x v="303"/>
    <n v="4110"/>
    <x v="4"/>
  </r>
  <r>
    <x v="164"/>
    <x v="19"/>
    <x v="8"/>
    <x v="4"/>
    <x v="31"/>
    <n v="464"/>
    <x v="137"/>
    <n v="1577.6000000000001"/>
    <x v="13"/>
  </r>
  <r>
    <x v="165"/>
    <x v="18"/>
    <x v="4"/>
    <x v="13"/>
    <x v="8"/>
    <n v="287"/>
    <x v="304"/>
    <n v="574"/>
    <x v="3"/>
  </r>
  <r>
    <x v="166"/>
    <x v="7"/>
    <x v="9"/>
    <x v="18"/>
    <x v="7"/>
    <n v="348"/>
    <x v="305"/>
    <n v="2575.2000000000003"/>
    <x v="11"/>
  </r>
  <r>
    <x v="167"/>
    <x v="0"/>
    <x v="6"/>
    <x v="4"/>
    <x v="17"/>
    <n v="266"/>
    <x v="306"/>
    <n v="1596"/>
    <x v="13"/>
  </r>
  <r>
    <x v="168"/>
    <x v="7"/>
    <x v="0"/>
    <x v="17"/>
    <x v="31"/>
    <n v="465"/>
    <x v="307"/>
    <n v="1581"/>
    <x v="0"/>
  </r>
  <r>
    <x v="168"/>
    <x v="1"/>
    <x v="0"/>
    <x v="15"/>
    <x v="13"/>
    <n v="284"/>
    <x v="308"/>
    <n v="2328.8000000000002"/>
    <x v="11"/>
  </r>
  <r>
    <x v="169"/>
    <x v="14"/>
    <x v="6"/>
    <x v="12"/>
    <x v="23"/>
    <n v="493"/>
    <x v="309"/>
    <n v="4437"/>
    <x v="6"/>
  </r>
  <r>
    <x v="169"/>
    <x v="1"/>
    <x v="8"/>
    <x v="14"/>
    <x v="10"/>
    <n v="245"/>
    <x v="40"/>
    <n v="2058"/>
    <x v="7"/>
  </r>
  <r>
    <x v="170"/>
    <x v="8"/>
    <x v="5"/>
    <x v="6"/>
    <x v="10"/>
    <n v="338"/>
    <x v="310"/>
    <n v="2839.2000000000003"/>
    <x v="5"/>
  </r>
  <r>
    <x v="170"/>
    <x v="0"/>
    <x v="4"/>
    <x v="10"/>
    <x v="11"/>
    <n v="212"/>
    <x v="311"/>
    <n v="1611.2"/>
    <x v="2"/>
  </r>
  <r>
    <x v="171"/>
    <x v="3"/>
    <x v="2"/>
    <x v="10"/>
    <x v="18"/>
    <n v="243"/>
    <x v="312"/>
    <n v="2089.8000000000002"/>
    <x v="4"/>
  </r>
  <r>
    <x v="172"/>
    <x v="4"/>
    <x v="0"/>
    <x v="6"/>
    <x v="2"/>
    <n v="262"/>
    <x v="313"/>
    <n v="1519.6000000000001"/>
    <x v="6"/>
  </r>
  <r>
    <x v="172"/>
    <x v="17"/>
    <x v="3"/>
    <x v="7"/>
    <x v="29"/>
    <n v="252"/>
    <x v="314"/>
    <n v="1008"/>
    <x v="3"/>
  </r>
  <r>
    <x v="173"/>
    <x v="16"/>
    <x v="1"/>
    <x v="2"/>
    <x v="17"/>
    <n v="452"/>
    <x v="315"/>
    <n v="2712"/>
    <x v="6"/>
  </r>
  <r>
    <x v="174"/>
    <x v="3"/>
    <x v="5"/>
    <x v="3"/>
    <x v="14"/>
    <n v="398"/>
    <x v="316"/>
    <n v="2706.4"/>
    <x v="6"/>
  </r>
  <r>
    <x v="175"/>
    <x v="8"/>
    <x v="9"/>
    <x v="8"/>
    <x v="15"/>
    <n v="204"/>
    <x v="317"/>
    <n v="1468.8000000000002"/>
    <x v="12"/>
  </r>
  <r>
    <x v="176"/>
    <x v="0"/>
    <x v="8"/>
    <x v="14"/>
    <x v="9"/>
    <n v="437"/>
    <x v="318"/>
    <n v="1835.4"/>
    <x v="6"/>
  </r>
  <r>
    <x v="177"/>
    <x v="7"/>
    <x v="9"/>
    <x v="0"/>
    <x v="11"/>
    <n v="366"/>
    <x v="319"/>
    <n v="2781.6000000000004"/>
    <x v="1"/>
  </r>
  <r>
    <x v="178"/>
    <x v="12"/>
    <x v="4"/>
    <x v="6"/>
    <x v="33"/>
    <n v="461"/>
    <x v="320"/>
    <n v="2489.4"/>
    <x v="7"/>
  </r>
  <r>
    <x v="178"/>
    <x v="13"/>
    <x v="4"/>
    <x v="18"/>
    <x v="32"/>
    <n v="216"/>
    <x v="321"/>
    <n v="691.2"/>
    <x v="3"/>
  </r>
  <r>
    <x v="178"/>
    <x v="14"/>
    <x v="6"/>
    <x v="2"/>
    <x v="33"/>
    <n v="372"/>
    <x v="322"/>
    <n v="2008.8000000000002"/>
    <x v="1"/>
  </r>
  <r>
    <x v="178"/>
    <x v="5"/>
    <x v="8"/>
    <x v="2"/>
    <x v="12"/>
    <n v="333"/>
    <x v="323"/>
    <n v="2197.8000000000002"/>
    <x v="3"/>
  </r>
  <r>
    <x v="179"/>
    <x v="17"/>
    <x v="7"/>
    <x v="8"/>
    <x v="10"/>
    <n v="383"/>
    <x v="324"/>
    <n v="3217.2000000000003"/>
    <x v="3"/>
  </r>
  <r>
    <x v="179"/>
    <x v="19"/>
    <x v="5"/>
    <x v="6"/>
    <x v="37"/>
    <n v="301"/>
    <x v="325"/>
    <n v="2648.8"/>
    <x v="0"/>
  </r>
  <r>
    <x v="179"/>
    <x v="6"/>
    <x v="4"/>
    <x v="19"/>
    <x v="36"/>
    <n v="435"/>
    <x v="326"/>
    <n v="3480"/>
    <x v="9"/>
  </r>
  <r>
    <x v="180"/>
    <x v="17"/>
    <x v="2"/>
    <x v="19"/>
    <x v="18"/>
    <n v="292"/>
    <x v="327"/>
    <n v="2511.2000000000003"/>
    <x v="4"/>
  </r>
  <r>
    <x v="180"/>
    <x v="4"/>
    <x v="4"/>
    <x v="0"/>
    <x v="13"/>
    <n v="472"/>
    <x v="328"/>
    <n v="3870.4"/>
    <x v="13"/>
  </r>
  <r>
    <x v="181"/>
    <x v="17"/>
    <x v="4"/>
    <x v="12"/>
    <x v="5"/>
    <n v="226"/>
    <x v="329"/>
    <n v="1582"/>
    <x v="6"/>
  </r>
  <r>
    <x v="182"/>
    <x v="7"/>
    <x v="4"/>
    <x v="9"/>
    <x v="4"/>
    <n v="439"/>
    <x v="330"/>
    <n v="2458.4"/>
    <x v="4"/>
  </r>
  <r>
    <x v="183"/>
    <x v="12"/>
    <x v="9"/>
    <x v="0"/>
    <x v="1"/>
    <n v="292"/>
    <x v="331"/>
    <n v="2920"/>
    <x v="8"/>
  </r>
  <r>
    <x v="183"/>
    <x v="5"/>
    <x v="4"/>
    <x v="4"/>
    <x v="29"/>
    <n v="477"/>
    <x v="332"/>
    <n v="1908"/>
    <x v="11"/>
  </r>
  <r>
    <x v="184"/>
    <x v="6"/>
    <x v="0"/>
    <x v="7"/>
    <x v="29"/>
    <n v="214"/>
    <x v="333"/>
    <n v="856"/>
    <x v="9"/>
  </r>
  <r>
    <x v="185"/>
    <x v="11"/>
    <x v="5"/>
    <x v="18"/>
    <x v="15"/>
    <n v="270"/>
    <x v="334"/>
    <n v="1944"/>
    <x v="1"/>
  </r>
  <r>
    <x v="185"/>
    <x v="14"/>
    <x v="8"/>
    <x v="13"/>
    <x v="2"/>
    <n v="294"/>
    <x v="335"/>
    <n v="1705.2"/>
    <x v="8"/>
  </r>
  <r>
    <x v="186"/>
    <x v="6"/>
    <x v="9"/>
    <x v="17"/>
    <x v="1"/>
    <n v="267"/>
    <x v="336"/>
    <n v="2670"/>
    <x v="6"/>
  </r>
  <r>
    <x v="186"/>
    <x v="11"/>
    <x v="9"/>
    <x v="7"/>
    <x v="5"/>
    <n v="236"/>
    <x v="337"/>
    <n v="1652"/>
    <x v="4"/>
  </r>
  <r>
    <x v="186"/>
    <x v="3"/>
    <x v="1"/>
    <x v="0"/>
    <x v="17"/>
    <n v="328"/>
    <x v="338"/>
    <n v="1968"/>
    <x v="10"/>
  </r>
  <r>
    <x v="187"/>
    <x v="10"/>
    <x v="0"/>
    <x v="3"/>
    <x v="26"/>
    <n v="281"/>
    <x v="339"/>
    <n v="843"/>
    <x v="7"/>
  </r>
  <r>
    <x v="187"/>
    <x v="11"/>
    <x v="6"/>
    <x v="12"/>
    <x v="9"/>
    <n v="384"/>
    <x v="19"/>
    <n v="1612.8000000000002"/>
    <x v="3"/>
  </r>
  <r>
    <x v="188"/>
    <x v="14"/>
    <x v="6"/>
    <x v="2"/>
    <x v="38"/>
    <n v="283"/>
    <x v="340"/>
    <n v="2207.4"/>
    <x v="4"/>
  </r>
  <r>
    <x v="188"/>
    <x v="7"/>
    <x v="3"/>
    <x v="12"/>
    <x v="16"/>
    <n v="433"/>
    <x v="341"/>
    <n v="1905.2"/>
    <x v="0"/>
  </r>
  <r>
    <x v="188"/>
    <x v="3"/>
    <x v="8"/>
    <x v="1"/>
    <x v="18"/>
    <n v="238"/>
    <x v="342"/>
    <n v="2046.8000000000002"/>
    <x v="1"/>
  </r>
  <r>
    <x v="189"/>
    <x v="4"/>
    <x v="5"/>
    <x v="15"/>
    <x v="38"/>
    <n v="399"/>
    <x v="343"/>
    <n v="3112.2000000000003"/>
    <x v="10"/>
  </r>
  <r>
    <x v="190"/>
    <x v="14"/>
    <x v="7"/>
    <x v="15"/>
    <x v="28"/>
    <n v="436"/>
    <x v="344"/>
    <n v="2180"/>
    <x v="13"/>
  </r>
  <r>
    <x v="190"/>
    <x v="6"/>
    <x v="5"/>
    <x v="4"/>
    <x v="3"/>
    <n v="208"/>
    <x v="345"/>
    <n v="540.80000000000007"/>
    <x v="3"/>
  </r>
  <r>
    <x v="191"/>
    <x v="10"/>
    <x v="4"/>
    <x v="7"/>
    <x v="25"/>
    <n v="273"/>
    <x v="346"/>
    <n v="982.80000000000007"/>
    <x v="10"/>
  </r>
  <r>
    <x v="192"/>
    <x v="13"/>
    <x v="9"/>
    <x v="4"/>
    <x v="14"/>
    <n v="311"/>
    <x v="347"/>
    <n v="2114.8000000000002"/>
    <x v="5"/>
  </r>
  <r>
    <x v="192"/>
    <x v="14"/>
    <x v="7"/>
    <x v="0"/>
    <x v="20"/>
    <n v="350"/>
    <x v="27"/>
    <n v="3220"/>
    <x v="3"/>
  </r>
  <r>
    <x v="193"/>
    <x v="10"/>
    <x v="9"/>
    <x v="13"/>
    <x v="19"/>
    <n v="485"/>
    <x v="348"/>
    <n v="1067"/>
    <x v="7"/>
  </r>
  <r>
    <x v="193"/>
    <x v="8"/>
    <x v="2"/>
    <x v="4"/>
    <x v="19"/>
    <n v="481"/>
    <x v="349"/>
    <n v="1058.2"/>
    <x v="12"/>
  </r>
  <r>
    <x v="193"/>
    <x v="2"/>
    <x v="2"/>
    <x v="4"/>
    <x v="38"/>
    <n v="385"/>
    <x v="350"/>
    <n v="3003"/>
    <x v="4"/>
  </r>
  <r>
    <x v="194"/>
    <x v="5"/>
    <x v="5"/>
    <x v="4"/>
    <x v="15"/>
    <n v="461"/>
    <x v="351"/>
    <n v="3319.2000000000003"/>
    <x v="10"/>
  </r>
  <r>
    <x v="195"/>
    <x v="8"/>
    <x v="5"/>
    <x v="4"/>
    <x v="5"/>
    <n v="333"/>
    <x v="352"/>
    <n v="2331"/>
    <x v="3"/>
  </r>
  <r>
    <x v="196"/>
    <x v="14"/>
    <x v="2"/>
    <x v="2"/>
    <x v="40"/>
    <n v="441"/>
    <x v="353"/>
    <n v="2116.8000000000002"/>
    <x v="10"/>
  </r>
  <r>
    <x v="197"/>
    <x v="11"/>
    <x v="4"/>
    <x v="7"/>
    <x v="8"/>
    <n v="483"/>
    <x v="354"/>
    <n v="966"/>
    <x v="6"/>
  </r>
  <r>
    <x v="197"/>
    <x v="14"/>
    <x v="6"/>
    <x v="13"/>
    <x v="1"/>
    <n v="397"/>
    <x v="355"/>
    <n v="3970"/>
    <x v="0"/>
  </r>
  <r>
    <x v="197"/>
    <x v="19"/>
    <x v="8"/>
    <x v="14"/>
    <x v="12"/>
    <n v="281"/>
    <x v="356"/>
    <n v="1854.6000000000001"/>
    <x v="9"/>
  </r>
  <r>
    <x v="198"/>
    <x v="8"/>
    <x v="9"/>
    <x v="3"/>
    <x v="28"/>
    <n v="401"/>
    <x v="357"/>
    <n v="2005"/>
    <x v="3"/>
  </r>
  <r>
    <x v="199"/>
    <x v="8"/>
    <x v="9"/>
    <x v="0"/>
    <x v="18"/>
    <n v="427"/>
    <x v="358"/>
    <n v="3672.2000000000003"/>
    <x v="8"/>
  </r>
  <r>
    <x v="199"/>
    <x v="5"/>
    <x v="0"/>
    <x v="2"/>
    <x v="32"/>
    <n v="462"/>
    <x v="359"/>
    <n v="1478.4"/>
    <x v="13"/>
  </r>
  <r>
    <x v="200"/>
    <x v="19"/>
    <x v="2"/>
    <x v="3"/>
    <x v="1"/>
    <n v="290"/>
    <x v="230"/>
    <n v="2900"/>
    <x v="5"/>
  </r>
  <r>
    <x v="200"/>
    <x v="6"/>
    <x v="8"/>
    <x v="3"/>
    <x v="21"/>
    <n v="211"/>
    <x v="360"/>
    <n v="2067.8000000000002"/>
    <x v="9"/>
  </r>
  <r>
    <x v="201"/>
    <x v="0"/>
    <x v="7"/>
    <x v="17"/>
    <x v="11"/>
    <n v="283"/>
    <x v="361"/>
    <n v="2150.8000000000002"/>
    <x v="1"/>
  </r>
  <r>
    <x v="202"/>
    <x v="3"/>
    <x v="1"/>
    <x v="6"/>
    <x v="1"/>
    <n v="366"/>
    <x v="362"/>
    <n v="3660"/>
    <x v="2"/>
  </r>
  <r>
    <x v="203"/>
    <x v="19"/>
    <x v="0"/>
    <x v="19"/>
    <x v="17"/>
    <n v="461"/>
    <x v="363"/>
    <n v="2766"/>
    <x v="4"/>
  </r>
  <r>
    <x v="204"/>
    <x v="11"/>
    <x v="7"/>
    <x v="9"/>
    <x v="30"/>
    <n v="212"/>
    <x v="364"/>
    <n v="508.8"/>
    <x v="12"/>
  </r>
  <r>
    <x v="204"/>
    <x v="10"/>
    <x v="4"/>
    <x v="5"/>
    <x v="10"/>
    <n v="483"/>
    <x v="67"/>
    <n v="4057.2000000000003"/>
    <x v="10"/>
  </r>
  <r>
    <x v="204"/>
    <x v="18"/>
    <x v="1"/>
    <x v="18"/>
    <x v="25"/>
    <n v="395"/>
    <x v="365"/>
    <n v="1422"/>
    <x v="0"/>
  </r>
  <r>
    <x v="204"/>
    <x v="18"/>
    <x v="1"/>
    <x v="12"/>
    <x v="19"/>
    <n v="251"/>
    <x v="366"/>
    <n v="552.20000000000005"/>
    <x v="2"/>
  </r>
  <r>
    <x v="205"/>
    <x v="10"/>
    <x v="9"/>
    <x v="11"/>
    <x v="32"/>
    <n v="256"/>
    <x v="367"/>
    <n v="819.2"/>
    <x v="1"/>
  </r>
  <r>
    <x v="206"/>
    <x v="6"/>
    <x v="1"/>
    <x v="12"/>
    <x v="19"/>
    <n v="475"/>
    <x v="368"/>
    <n v="1045"/>
    <x v="1"/>
  </r>
  <r>
    <x v="207"/>
    <x v="10"/>
    <x v="2"/>
    <x v="1"/>
    <x v="20"/>
    <n v="489"/>
    <x v="369"/>
    <n v="4498.8"/>
    <x v="13"/>
  </r>
  <r>
    <x v="208"/>
    <x v="8"/>
    <x v="1"/>
    <x v="14"/>
    <x v="20"/>
    <n v="402"/>
    <x v="370"/>
    <n v="3698.4"/>
    <x v="6"/>
  </r>
  <r>
    <x v="209"/>
    <x v="11"/>
    <x v="3"/>
    <x v="4"/>
    <x v="22"/>
    <n v="491"/>
    <x v="371"/>
    <n v="2553.2000000000003"/>
    <x v="6"/>
  </r>
  <r>
    <x v="210"/>
    <x v="1"/>
    <x v="1"/>
    <x v="16"/>
    <x v="20"/>
    <n v="292"/>
    <x v="26"/>
    <n v="2686.4"/>
    <x v="13"/>
  </r>
  <r>
    <x v="211"/>
    <x v="7"/>
    <x v="0"/>
    <x v="15"/>
    <x v="20"/>
    <n v="480"/>
    <x v="372"/>
    <n v="4416"/>
    <x v="3"/>
  </r>
  <r>
    <x v="211"/>
    <x v="13"/>
    <x v="5"/>
    <x v="15"/>
    <x v="6"/>
    <n v="466"/>
    <x v="373"/>
    <n v="2982.4"/>
    <x v="8"/>
  </r>
  <r>
    <x v="211"/>
    <x v="0"/>
    <x v="3"/>
    <x v="12"/>
    <x v="23"/>
    <n v="461"/>
    <x v="374"/>
    <n v="4149"/>
    <x v="13"/>
  </r>
  <r>
    <x v="212"/>
    <x v="9"/>
    <x v="5"/>
    <x v="3"/>
    <x v="0"/>
    <n v="214"/>
    <x v="375"/>
    <n v="813.2"/>
    <x v="7"/>
  </r>
  <r>
    <x v="213"/>
    <x v="10"/>
    <x v="6"/>
    <x v="8"/>
    <x v="9"/>
    <n v="254"/>
    <x v="376"/>
    <n v="1066.8"/>
    <x v="7"/>
  </r>
  <r>
    <x v="213"/>
    <x v="1"/>
    <x v="3"/>
    <x v="15"/>
    <x v="11"/>
    <n v="219"/>
    <x v="377"/>
    <n v="1664.4"/>
    <x v="9"/>
  </r>
  <r>
    <x v="213"/>
    <x v="19"/>
    <x v="8"/>
    <x v="2"/>
    <x v="37"/>
    <n v="452"/>
    <x v="378"/>
    <n v="3977.6000000000004"/>
    <x v="0"/>
  </r>
  <r>
    <x v="213"/>
    <x v="14"/>
    <x v="8"/>
    <x v="1"/>
    <x v="24"/>
    <n v="377"/>
    <x v="379"/>
    <n v="2337.4"/>
    <x v="6"/>
  </r>
  <r>
    <x v="214"/>
    <x v="6"/>
    <x v="7"/>
    <x v="4"/>
    <x v="40"/>
    <n v="337"/>
    <x v="380"/>
    <n v="1617.6000000000001"/>
    <x v="1"/>
  </r>
  <r>
    <x v="214"/>
    <x v="8"/>
    <x v="7"/>
    <x v="9"/>
    <x v="40"/>
    <n v="266"/>
    <x v="381"/>
    <n v="1276.8000000000002"/>
    <x v="2"/>
  </r>
  <r>
    <x v="214"/>
    <x v="17"/>
    <x v="1"/>
    <x v="14"/>
    <x v="18"/>
    <n v="256"/>
    <x v="382"/>
    <n v="2201.6"/>
    <x v="5"/>
  </r>
  <r>
    <x v="215"/>
    <x v="13"/>
    <x v="5"/>
    <x v="13"/>
    <x v="32"/>
    <n v="446"/>
    <x v="383"/>
    <n v="1427.2"/>
    <x v="7"/>
  </r>
  <r>
    <x v="216"/>
    <x v="1"/>
    <x v="4"/>
    <x v="0"/>
    <x v="12"/>
    <n v="307"/>
    <x v="384"/>
    <n v="2026.2"/>
    <x v="6"/>
  </r>
  <r>
    <x v="217"/>
    <x v="16"/>
    <x v="9"/>
    <x v="16"/>
    <x v="11"/>
    <n v="362"/>
    <x v="385"/>
    <n v="2751.2000000000003"/>
    <x v="3"/>
  </r>
  <r>
    <x v="217"/>
    <x v="6"/>
    <x v="5"/>
    <x v="19"/>
    <x v="35"/>
    <n v="256"/>
    <x v="386"/>
    <n v="1177.6000000000001"/>
    <x v="1"/>
  </r>
  <r>
    <x v="217"/>
    <x v="0"/>
    <x v="4"/>
    <x v="8"/>
    <x v="36"/>
    <n v="322"/>
    <x v="387"/>
    <n v="2576"/>
    <x v="0"/>
  </r>
  <r>
    <x v="217"/>
    <x v="9"/>
    <x v="6"/>
    <x v="11"/>
    <x v="11"/>
    <n v="207"/>
    <x v="211"/>
    <n v="1573.2"/>
    <x v="11"/>
  </r>
  <r>
    <x v="218"/>
    <x v="4"/>
    <x v="4"/>
    <x v="16"/>
    <x v="0"/>
    <n v="445"/>
    <x v="388"/>
    <n v="1691"/>
    <x v="4"/>
  </r>
  <r>
    <x v="218"/>
    <x v="5"/>
    <x v="6"/>
    <x v="13"/>
    <x v="13"/>
    <n v="453"/>
    <x v="389"/>
    <n v="3714.6000000000004"/>
    <x v="8"/>
  </r>
  <r>
    <x v="219"/>
    <x v="16"/>
    <x v="1"/>
    <x v="19"/>
    <x v="0"/>
    <n v="245"/>
    <x v="390"/>
    <n v="931"/>
    <x v="2"/>
  </r>
  <r>
    <x v="220"/>
    <x v="12"/>
    <x v="9"/>
    <x v="4"/>
    <x v="35"/>
    <n v="471"/>
    <x v="391"/>
    <n v="2166.6"/>
    <x v="10"/>
  </r>
  <r>
    <x v="220"/>
    <x v="17"/>
    <x v="5"/>
    <x v="4"/>
    <x v="26"/>
    <n v="415"/>
    <x v="392"/>
    <n v="1245"/>
    <x v="5"/>
  </r>
  <r>
    <x v="220"/>
    <x v="2"/>
    <x v="4"/>
    <x v="7"/>
    <x v="14"/>
    <n v="413"/>
    <x v="393"/>
    <n v="2808.4"/>
    <x v="6"/>
  </r>
  <r>
    <x v="221"/>
    <x v="12"/>
    <x v="1"/>
    <x v="18"/>
    <x v="34"/>
    <n v="212"/>
    <x v="394"/>
    <n v="593.6"/>
    <x v="12"/>
  </r>
  <r>
    <x v="222"/>
    <x v="14"/>
    <x v="8"/>
    <x v="3"/>
    <x v="21"/>
    <n v="296"/>
    <x v="395"/>
    <n v="2900.8"/>
    <x v="0"/>
  </r>
  <r>
    <x v="223"/>
    <x v="14"/>
    <x v="4"/>
    <x v="16"/>
    <x v="39"/>
    <n v="261"/>
    <x v="396"/>
    <n v="2505.6000000000004"/>
    <x v="13"/>
  </r>
  <r>
    <x v="223"/>
    <x v="11"/>
    <x v="1"/>
    <x v="10"/>
    <x v="18"/>
    <n v="367"/>
    <x v="397"/>
    <n v="3156.2000000000003"/>
    <x v="4"/>
  </r>
  <r>
    <x v="224"/>
    <x v="5"/>
    <x v="2"/>
    <x v="1"/>
    <x v="34"/>
    <n v="336"/>
    <x v="398"/>
    <n v="940.80000000000007"/>
    <x v="11"/>
  </r>
  <r>
    <x v="225"/>
    <x v="2"/>
    <x v="5"/>
    <x v="15"/>
    <x v="37"/>
    <n v="376"/>
    <x v="62"/>
    <n v="3308.8"/>
    <x v="8"/>
  </r>
  <r>
    <x v="226"/>
    <x v="15"/>
    <x v="2"/>
    <x v="8"/>
    <x v="7"/>
    <n v="417"/>
    <x v="399"/>
    <n v="3085.8"/>
    <x v="11"/>
  </r>
  <r>
    <x v="226"/>
    <x v="5"/>
    <x v="0"/>
    <x v="0"/>
    <x v="8"/>
    <n v="448"/>
    <x v="400"/>
    <n v="896"/>
    <x v="7"/>
  </r>
  <r>
    <x v="226"/>
    <x v="9"/>
    <x v="6"/>
    <x v="2"/>
    <x v="8"/>
    <n v="437"/>
    <x v="401"/>
    <n v="874"/>
    <x v="7"/>
  </r>
  <r>
    <x v="226"/>
    <x v="9"/>
    <x v="6"/>
    <x v="15"/>
    <x v="1"/>
    <n v="365"/>
    <x v="402"/>
    <n v="3650"/>
    <x v="2"/>
  </r>
  <r>
    <x v="226"/>
    <x v="3"/>
    <x v="6"/>
    <x v="0"/>
    <x v="22"/>
    <n v="300"/>
    <x v="403"/>
    <n v="1560"/>
    <x v="10"/>
  </r>
  <r>
    <x v="227"/>
    <x v="0"/>
    <x v="2"/>
    <x v="3"/>
    <x v="20"/>
    <n v="244"/>
    <x v="404"/>
    <n v="2244.8000000000002"/>
    <x v="8"/>
  </r>
  <r>
    <x v="228"/>
    <x v="5"/>
    <x v="2"/>
    <x v="10"/>
    <x v="27"/>
    <n v="331"/>
    <x v="405"/>
    <n v="3111.4"/>
    <x v="5"/>
  </r>
  <r>
    <x v="228"/>
    <x v="5"/>
    <x v="2"/>
    <x v="0"/>
    <x v="32"/>
    <n v="307"/>
    <x v="406"/>
    <n v="982.40000000000009"/>
    <x v="6"/>
  </r>
  <r>
    <x v="229"/>
    <x v="3"/>
    <x v="9"/>
    <x v="15"/>
    <x v="3"/>
    <n v="412"/>
    <x v="407"/>
    <n v="1071.2"/>
    <x v="5"/>
  </r>
  <r>
    <x v="229"/>
    <x v="14"/>
    <x v="1"/>
    <x v="10"/>
    <x v="10"/>
    <n v="430"/>
    <x v="408"/>
    <n v="3612"/>
    <x v="7"/>
  </r>
  <r>
    <x v="229"/>
    <x v="17"/>
    <x v="8"/>
    <x v="13"/>
    <x v="30"/>
    <n v="377"/>
    <x v="168"/>
    <n v="904.80000000000007"/>
    <x v="0"/>
  </r>
  <r>
    <x v="230"/>
    <x v="14"/>
    <x v="7"/>
    <x v="3"/>
    <x v="20"/>
    <n v="392"/>
    <x v="409"/>
    <n v="3606.4"/>
    <x v="7"/>
  </r>
  <r>
    <x v="231"/>
    <x v="5"/>
    <x v="2"/>
    <x v="15"/>
    <x v="32"/>
    <n v="496"/>
    <x v="410"/>
    <n v="1587.2"/>
    <x v="10"/>
  </r>
  <r>
    <x v="231"/>
    <x v="14"/>
    <x v="0"/>
    <x v="7"/>
    <x v="15"/>
    <n v="454"/>
    <x v="411"/>
    <n v="3268.8"/>
    <x v="11"/>
  </r>
  <r>
    <x v="231"/>
    <x v="4"/>
    <x v="0"/>
    <x v="1"/>
    <x v="10"/>
    <n v="223"/>
    <x v="412"/>
    <n v="1873.2"/>
    <x v="13"/>
  </r>
  <r>
    <x v="232"/>
    <x v="12"/>
    <x v="2"/>
    <x v="3"/>
    <x v="30"/>
    <n v="291"/>
    <x v="413"/>
    <n v="698.40000000000009"/>
    <x v="4"/>
  </r>
  <r>
    <x v="233"/>
    <x v="17"/>
    <x v="7"/>
    <x v="9"/>
    <x v="38"/>
    <n v="333"/>
    <x v="414"/>
    <n v="2597.4"/>
    <x v="9"/>
  </r>
  <r>
    <x v="233"/>
    <x v="11"/>
    <x v="1"/>
    <x v="9"/>
    <x v="29"/>
    <n v="458"/>
    <x v="415"/>
    <n v="1832"/>
    <x v="2"/>
  </r>
  <r>
    <x v="234"/>
    <x v="0"/>
    <x v="1"/>
    <x v="3"/>
    <x v="11"/>
    <n v="324"/>
    <x v="416"/>
    <n v="2462.4"/>
    <x v="10"/>
  </r>
  <r>
    <x v="235"/>
    <x v="7"/>
    <x v="1"/>
    <x v="15"/>
    <x v="7"/>
    <n v="279"/>
    <x v="417"/>
    <n v="2064.6"/>
    <x v="8"/>
  </r>
  <r>
    <x v="236"/>
    <x v="16"/>
    <x v="0"/>
    <x v="11"/>
    <x v="32"/>
    <n v="451"/>
    <x v="418"/>
    <n v="1443.2"/>
    <x v="12"/>
  </r>
  <r>
    <x v="237"/>
    <x v="17"/>
    <x v="1"/>
    <x v="10"/>
    <x v="23"/>
    <n v="457"/>
    <x v="419"/>
    <n v="4113"/>
    <x v="4"/>
  </r>
  <r>
    <x v="237"/>
    <x v="19"/>
    <x v="3"/>
    <x v="16"/>
    <x v="31"/>
    <n v="202"/>
    <x v="420"/>
    <n v="686.80000000000007"/>
    <x v="5"/>
  </r>
  <r>
    <x v="238"/>
    <x v="15"/>
    <x v="7"/>
    <x v="18"/>
    <x v="11"/>
    <n v="435"/>
    <x v="421"/>
    <n v="3306"/>
    <x v="7"/>
  </r>
  <r>
    <x v="239"/>
    <x v="10"/>
    <x v="1"/>
    <x v="11"/>
    <x v="32"/>
    <n v="215"/>
    <x v="422"/>
    <n v="688"/>
    <x v="4"/>
  </r>
  <r>
    <x v="240"/>
    <x v="8"/>
    <x v="4"/>
    <x v="7"/>
    <x v="0"/>
    <n v="397"/>
    <x v="423"/>
    <n v="1508.6000000000001"/>
    <x v="12"/>
  </r>
  <r>
    <x v="241"/>
    <x v="6"/>
    <x v="2"/>
    <x v="12"/>
    <x v="18"/>
    <n v="311"/>
    <x v="424"/>
    <n v="2674.6000000000004"/>
    <x v="9"/>
  </r>
  <r>
    <x v="241"/>
    <x v="15"/>
    <x v="0"/>
    <x v="9"/>
    <x v="28"/>
    <n v="426"/>
    <x v="425"/>
    <n v="2130"/>
    <x v="2"/>
  </r>
  <r>
    <x v="241"/>
    <x v="5"/>
    <x v="4"/>
    <x v="4"/>
    <x v="12"/>
    <n v="320"/>
    <x v="426"/>
    <n v="2112"/>
    <x v="2"/>
  </r>
  <r>
    <x v="241"/>
    <x v="7"/>
    <x v="4"/>
    <x v="11"/>
    <x v="25"/>
    <n v="290"/>
    <x v="427"/>
    <n v="1044"/>
    <x v="2"/>
  </r>
  <r>
    <x v="242"/>
    <x v="15"/>
    <x v="0"/>
    <x v="1"/>
    <x v="36"/>
    <n v="217"/>
    <x v="428"/>
    <n v="1736"/>
    <x v="10"/>
  </r>
  <r>
    <x v="242"/>
    <x v="9"/>
    <x v="4"/>
    <x v="6"/>
    <x v="31"/>
    <n v="415"/>
    <x v="429"/>
    <n v="1411"/>
    <x v="2"/>
  </r>
  <r>
    <x v="242"/>
    <x v="12"/>
    <x v="1"/>
    <x v="7"/>
    <x v="8"/>
    <n v="409"/>
    <x v="430"/>
    <n v="818"/>
    <x v="6"/>
  </r>
  <r>
    <x v="243"/>
    <x v="17"/>
    <x v="5"/>
    <x v="3"/>
    <x v="29"/>
    <n v="474"/>
    <x v="431"/>
    <n v="1896"/>
    <x v="3"/>
  </r>
  <r>
    <x v="244"/>
    <x v="12"/>
    <x v="2"/>
    <x v="10"/>
    <x v="34"/>
    <n v="470"/>
    <x v="432"/>
    <n v="1316"/>
    <x v="12"/>
  </r>
  <r>
    <x v="244"/>
    <x v="9"/>
    <x v="7"/>
    <x v="10"/>
    <x v="25"/>
    <n v="307"/>
    <x v="433"/>
    <n v="1105.2"/>
    <x v="12"/>
  </r>
  <r>
    <x v="244"/>
    <x v="6"/>
    <x v="0"/>
    <x v="15"/>
    <x v="5"/>
    <n v="345"/>
    <x v="434"/>
    <n v="2415"/>
    <x v="11"/>
  </r>
  <r>
    <x v="244"/>
    <x v="0"/>
    <x v="4"/>
    <x v="18"/>
    <x v="36"/>
    <n v="234"/>
    <x v="435"/>
    <n v="1872"/>
    <x v="7"/>
  </r>
  <r>
    <x v="245"/>
    <x v="4"/>
    <x v="9"/>
    <x v="17"/>
    <x v="27"/>
    <n v="353"/>
    <x v="436"/>
    <n v="3318.2000000000003"/>
    <x v="8"/>
  </r>
  <r>
    <x v="245"/>
    <x v="1"/>
    <x v="2"/>
    <x v="4"/>
    <x v="0"/>
    <n v="495"/>
    <x v="113"/>
    <n v="1881"/>
    <x v="2"/>
  </r>
  <r>
    <x v="245"/>
    <x v="1"/>
    <x v="5"/>
    <x v="6"/>
    <x v="16"/>
    <n v="431"/>
    <x v="437"/>
    <n v="1896.4"/>
    <x v="8"/>
  </r>
  <r>
    <x v="246"/>
    <x v="2"/>
    <x v="0"/>
    <x v="8"/>
    <x v="40"/>
    <n v="406"/>
    <x v="438"/>
    <n v="1948.8000000000002"/>
    <x v="2"/>
  </r>
  <r>
    <x v="246"/>
    <x v="2"/>
    <x v="4"/>
    <x v="10"/>
    <x v="7"/>
    <n v="407"/>
    <x v="439"/>
    <n v="3011.8"/>
    <x v="11"/>
  </r>
  <r>
    <x v="246"/>
    <x v="15"/>
    <x v="1"/>
    <x v="16"/>
    <x v="21"/>
    <n v="309"/>
    <x v="440"/>
    <n v="3028.2000000000003"/>
    <x v="9"/>
  </r>
  <r>
    <x v="247"/>
    <x v="16"/>
    <x v="2"/>
    <x v="9"/>
    <x v="22"/>
    <n v="252"/>
    <x v="441"/>
    <n v="1310.4000000000001"/>
    <x v="13"/>
  </r>
  <r>
    <x v="247"/>
    <x v="18"/>
    <x v="5"/>
    <x v="12"/>
    <x v="16"/>
    <n v="500"/>
    <x v="442"/>
    <n v="2200"/>
    <x v="0"/>
  </r>
  <r>
    <x v="247"/>
    <x v="6"/>
    <x v="3"/>
    <x v="2"/>
    <x v="21"/>
    <n v="479"/>
    <x v="44"/>
    <n v="4694.2"/>
    <x v="10"/>
  </r>
  <r>
    <x v="248"/>
    <x v="5"/>
    <x v="6"/>
    <x v="18"/>
    <x v="18"/>
    <n v="267"/>
    <x v="443"/>
    <n v="2296.2000000000003"/>
    <x v="1"/>
  </r>
  <r>
    <x v="249"/>
    <x v="0"/>
    <x v="5"/>
    <x v="5"/>
    <x v="15"/>
    <n v="461"/>
    <x v="351"/>
    <n v="3319.2000000000003"/>
    <x v="13"/>
  </r>
  <r>
    <x v="249"/>
    <x v="9"/>
    <x v="8"/>
    <x v="4"/>
    <x v="2"/>
    <n v="496"/>
    <x v="444"/>
    <n v="2876.8"/>
    <x v="11"/>
  </r>
  <r>
    <x v="250"/>
    <x v="4"/>
    <x v="2"/>
    <x v="7"/>
    <x v="40"/>
    <n v="287"/>
    <x v="4"/>
    <n v="1377.6000000000001"/>
    <x v="0"/>
  </r>
  <r>
    <x v="250"/>
    <x v="11"/>
    <x v="4"/>
    <x v="16"/>
    <x v="0"/>
    <n v="214"/>
    <x v="375"/>
    <n v="813.2"/>
    <x v="10"/>
  </r>
  <r>
    <x v="251"/>
    <x v="12"/>
    <x v="0"/>
    <x v="4"/>
    <x v="6"/>
    <n v="459"/>
    <x v="445"/>
    <n v="2937.6000000000004"/>
    <x v="6"/>
  </r>
  <r>
    <x v="251"/>
    <x v="16"/>
    <x v="1"/>
    <x v="11"/>
    <x v="36"/>
    <n v="307"/>
    <x v="446"/>
    <n v="2456"/>
    <x v="6"/>
  </r>
  <r>
    <x v="252"/>
    <x v="1"/>
    <x v="2"/>
    <x v="2"/>
    <x v="34"/>
    <n v="372"/>
    <x v="109"/>
    <n v="1041.6000000000001"/>
    <x v="1"/>
  </r>
  <r>
    <x v="252"/>
    <x v="13"/>
    <x v="0"/>
    <x v="12"/>
    <x v="6"/>
    <n v="437"/>
    <x v="266"/>
    <n v="2796.8"/>
    <x v="9"/>
  </r>
  <r>
    <x v="253"/>
    <x v="4"/>
    <x v="6"/>
    <x v="13"/>
    <x v="26"/>
    <n v="499"/>
    <x v="447"/>
    <n v="1497"/>
    <x v="6"/>
  </r>
  <r>
    <x v="254"/>
    <x v="12"/>
    <x v="6"/>
    <x v="16"/>
    <x v="23"/>
    <n v="295"/>
    <x v="448"/>
    <n v="2655"/>
    <x v="5"/>
  </r>
  <r>
    <x v="254"/>
    <x v="17"/>
    <x v="1"/>
    <x v="6"/>
    <x v="30"/>
    <n v="200"/>
    <x v="449"/>
    <n v="480"/>
    <x v="6"/>
  </r>
  <r>
    <x v="254"/>
    <x v="7"/>
    <x v="3"/>
    <x v="9"/>
    <x v="30"/>
    <n v="432"/>
    <x v="450"/>
    <n v="1036.8"/>
    <x v="0"/>
  </r>
  <r>
    <x v="254"/>
    <x v="2"/>
    <x v="3"/>
    <x v="8"/>
    <x v="4"/>
    <n v="264"/>
    <x v="359"/>
    <n v="1478.4"/>
    <x v="3"/>
  </r>
  <r>
    <x v="255"/>
    <x v="17"/>
    <x v="1"/>
    <x v="19"/>
    <x v="10"/>
    <n v="417"/>
    <x v="451"/>
    <n v="3502.8"/>
    <x v="6"/>
  </r>
  <r>
    <x v="255"/>
    <x v="7"/>
    <x v="1"/>
    <x v="8"/>
    <x v="15"/>
    <n v="372"/>
    <x v="452"/>
    <n v="2678.4"/>
    <x v="2"/>
  </r>
  <r>
    <x v="256"/>
    <x v="4"/>
    <x v="2"/>
    <x v="0"/>
    <x v="15"/>
    <n v="411"/>
    <x v="453"/>
    <n v="2959.2000000000003"/>
    <x v="11"/>
  </r>
  <r>
    <x v="256"/>
    <x v="16"/>
    <x v="5"/>
    <x v="1"/>
    <x v="36"/>
    <n v="434"/>
    <x v="454"/>
    <n v="3472"/>
    <x v="0"/>
  </r>
  <r>
    <x v="256"/>
    <x v="13"/>
    <x v="6"/>
    <x v="10"/>
    <x v="5"/>
    <n v="319"/>
    <x v="455"/>
    <n v="2233"/>
    <x v="5"/>
  </r>
  <r>
    <x v="257"/>
    <x v="10"/>
    <x v="0"/>
    <x v="8"/>
    <x v="19"/>
    <n v="350"/>
    <x v="456"/>
    <n v="770"/>
    <x v="9"/>
  </r>
  <r>
    <x v="257"/>
    <x v="17"/>
    <x v="8"/>
    <x v="12"/>
    <x v="34"/>
    <n v="238"/>
    <x v="457"/>
    <n v="666.40000000000009"/>
    <x v="11"/>
  </r>
  <r>
    <x v="258"/>
    <x v="15"/>
    <x v="5"/>
    <x v="16"/>
    <x v="26"/>
    <n v="256"/>
    <x v="458"/>
    <n v="768"/>
    <x v="0"/>
  </r>
  <r>
    <x v="258"/>
    <x v="15"/>
    <x v="8"/>
    <x v="9"/>
    <x v="7"/>
    <n v="478"/>
    <x v="459"/>
    <n v="3537.2000000000003"/>
    <x v="8"/>
  </r>
  <r>
    <x v="259"/>
    <x v="0"/>
    <x v="7"/>
    <x v="3"/>
    <x v="25"/>
    <n v="398"/>
    <x v="460"/>
    <n v="1432.8000000000002"/>
    <x v="0"/>
  </r>
  <r>
    <x v="260"/>
    <x v="11"/>
    <x v="6"/>
    <x v="12"/>
    <x v="23"/>
    <n v="327"/>
    <x v="461"/>
    <n v="2943"/>
    <x v="7"/>
  </r>
  <r>
    <x v="261"/>
    <x v="12"/>
    <x v="0"/>
    <x v="19"/>
    <x v="31"/>
    <n v="450"/>
    <x v="462"/>
    <n v="1530"/>
    <x v="0"/>
  </r>
  <r>
    <x v="261"/>
    <x v="3"/>
    <x v="4"/>
    <x v="16"/>
    <x v="30"/>
    <n v="461"/>
    <x v="463"/>
    <n v="1106.4000000000001"/>
    <x v="11"/>
  </r>
  <r>
    <x v="262"/>
    <x v="10"/>
    <x v="9"/>
    <x v="2"/>
    <x v="36"/>
    <n v="466"/>
    <x v="464"/>
    <n v="3728"/>
    <x v="2"/>
  </r>
  <r>
    <x v="262"/>
    <x v="4"/>
    <x v="1"/>
    <x v="13"/>
    <x v="6"/>
    <n v="275"/>
    <x v="465"/>
    <n v="1760"/>
    <x v="5"/>
  </r>
  <r>
    <x v="263"/>
    <x v="19"/>
    <x v="7"/>
    <x v="7"/>
    <x v="15"/>
    <n v="426"/>
    <x v="466"/>
    <n v="3067.2000000000003"/>
    <x v="3"/>
  </r>
  <r>
    <x v="263"/>
    <x v="4"/>
    <x v="0"/>
    <x v="9"/>
    <x v="5"/>
    <n v="260"/>
    <x v="467"/>
    <n v="1820"/>
    <x v="9"/>
  </r>
  <r>
    <x v="264"/>
    <x v="14"/>
    <x v="3"/>
    <x v="4"/>
    <x v="25"/>
    <n v="494"/>
    <x v="468"/>
    <n v="1778.4"/>
    <x v="12"/>
  </r>
  <r>
    <x v="265"/>
    <x v="0"/>
    <x v="0"/>
    <x v="1"/>
    <x v="3"/>
    <n v="328"/>
    <x v="469"/>
    <n v="852.80000000000007"/>
    <x v="7"/>
  </r>
  <r>
    <x v="265"/>
    <x v="3"/>
    <x v="3"/>
    <x v="18"/>
    <x v="33"/>
    <n v="282"/>
    <x v="470"/>
    <n v="1522.8000000000002"/>
    <x v="4"/>
  </r>
  <r>
    <x v="266"/>
    <x v="15"/>
    <x v="3"/>
    <x v="16"/>
    <x v="38"/>
    <n v="420"/>
    <x v="471"/>
    <n v="3276"/>
    <x v="5"/>
  </r>
  <r>
    <x v="267"/>
    <x v="12"/>
    <x v="7"/>
    <x v="8"/>
    <x v="27"/>
    <n v="259"/>
    <x v="472"/>
    <n v="2434.6"/>
    <x v="6"/>
  </r>
  <r>
    <x v="267"/>
    <x v="7"/>
    <x v="0"/>
    <x v="6"/>
    <x v="34"/>
    <n v="499"/>
    <x v="473"/>
    <n v="1397.2"/>
    <x v="13"/>
  </r>
  <r>
    <x v="267"/>
    <x v="16"/>
    <x v="4"/>
    <x v="7"/>
    <x v="19"/>
    <n v="355"/>
    <x v="474"/>
    <n v="781"/>
    <x v="3"/>
  </r>
  <r>
    <x v="268"/>
    <x v="5"/>
    <x v="3"/>
    <x v="0"/>
    <x v="12"/>
    <n v="436"/>
    <x v="475"/>
    <n v="2877.6000000000004"/>
    <x v="4"/>
  </r>
  <r>
    <x v="269"/>
    <x v="8"/>
    <x v="0"/>
    <x v="17"/>
    <x v="8"/>
    <n v="404"/>
    <x v="476"/>
    <n v="808"/>
    <x v="8"/>
  </r>
  <r>
    <x v="269"/>
    <x v="11"/>
    <x v="3"/>
    <x v="13"/>
    <x v="1"/>
    <n v="223"/>
    <x v="477"/>
    <n v="2230"/>
    <x v="0"/>
  </r>
  <r>
    <x v="270"/>
    <x v="14"/>
    <x v="5"/>
    <x v="14"/>
    <x v="31"/>
    <n v="264"/>
    <x v="478"/>
    <n v="897.6"/>
    <x v="6"/>
  </r>
  <r>
    <x v="271"/>
    <x v="9"/>
    <x v="7"/>
    <x v="2"/>
    <x v="28"/>
    <n v="202"/>
    <x v="479"/>
    <n v="1010"/>
    <x v="11"/>
  </r>
  <r>
    <x v="272"/>
    <x v="18"/>
    <x v="2"/>
    <x v="2"/>
    <x v="28"/>
    <n v="292"/>
    <x v="480"/>
    <n v="1460"/>
    <x v="12"/>
  </r>
  <r>
    <x v="272"/>
    <x v="0"/>
    <x v="1"/>
    <x v="12"/>
    <x v="15"/>
    <n v="221"/>
    <x v="481"/>
    <n v="1591.2"/>
    <x v="8"/>
  </r>
  <r>
    <x v="272"/>
    <x v="11"/>
    <x v="1"/>
    <x v="18"/>
    <x v="17"/>
    <n v="215"/>
    <x v="482"/>
    <n v="1290"/>
    <x v="9"/>
  </r>
  <r>
    <x v="273"/>
    <x v="5"/>
    <x v="2"/>
    <x v="9"/>
    <x v="30"/>
    <n v="442"/>
    <x v="89"/>
    <n v="1060.8"/>
    <x v="0"/>
  </r>
  <r>
    <x v="273"/>
    <x v="16"/>
    <x v="8"/>
    <x v="2"/>
    <x v="40"/>
    <n v="372"/>
    <x v="147"/>
    <n v="1785.6000000000001"/>
    <x v="4"/>
  </r>
  <r>
    <x v="273"/>
    <x v="4"/>
    <x v="8"/>
    <x v="19"/>
    <x v="22"/>
    <n v="295"/>
    <x v="483"/>
    <n v="1534"/>
    <x v="7"/>
  </r>
  <r>
    <x v="274"/>
    <x v="16"/>
    <x v="7"/>
    <x v="11"/>
    <x v="36"/>
    <n v="284"/>
    <x v="484"/>
    <n v="2272"/>
    <x v="3"/>
  </r>
  <r>
    <x v="274"/>
    <x v="16"/>
    <x v="0"/>
    <x v="15"/>
    <x v="10"/>
    <n v="336"/>
    <x v="485"/>
    <n v="2822.4"/>
    <x v="11"/>
  </r>
  <r>
    <x v="274"/>
    <x v="6"/>
    <x v="8"/>
    <x v="18"/>
    <x v="17"/>
    <n v="277"/>
    <x v="486"/>
    <n v="1662"/>
    <x v="13"/>
  </r>
  <r>
    <x v="275"/>
    <x v="5"/>
    <x v="2"/>
    <x v="13"/>
    <x v="28"/>
    <n v="304"/>
    <x v="487"/>
    <n v="1520"/>
    <x v="3"/>
  </r>
  <r>
    <x v="276"/>
    <x v="7"/>
    <x v="9"/>
    <x v="18"/>
    <x v="23"/>
    <n v="484"/>
    <x v="488"/>
    <n v="4356"/>
    <x v="7"/>
  </r>
  <r>
    <x v="277"/>
    <x v="13"/>
    <x v="0"/>
    <x v="0"/>
    <x v="29"/>
    <n v="207"/>
    <x v="489"/>
    <n v="828"/>
    <x v="11"/>
  </r>
  <r>
    <x v="278"/>
    <x v="1"/>
    <x v="7"/>
    <x v="12"/>
    <x v="26"/>
    <n v="276"/>
    <x v="489"/>
    <n v="828"/>
    <x v="1"/>
  </r>
  <r>
    <x v="279"/>
    <x v="4"/>
    <x v="2"/>
    <x v="4"/>
    <x v="40"/>
    <n v="406"/>
    <x v="438"/>
    <n v="1948.8000000000002"/>
    <x v="13"/>
  </r>
  <r>
    <x v="279"/>
    <x v="15"/>
    <x v="3"/>
    <x v="2"/>
    <x v="37"/>
    <n v="214"/>
    <x v="490"/>
    <n v="1883.2"/>
    <x v="5"/>
  </r>
  <r>
    <x v="280"/>
    <x v="17"/>
    <x v="5"/>
    <x v="2"/>
    <x v="13"/>
    <n v="204"/>
    <x v="491"/>
    <n v="1672.8000000000002"/>
    <x v="7"/>
  </r>
  <r>
    <x v="281"/>
    <x v="9"/>
    <x v="7"/>
    <x v="6"/>
    <x v="25"/>
    <n v="366"/>
    <x v="492"/>
    <n v="1317.6000000000001"/>
    <x v="3"/>
  </r>
  <r>
    <x v="282"/>
    <x v="16"/>
    <x v="0"/>
    <x v="19"/>
    <x v="24"/>
    <n v="405"/>
    <x v="493"/>
    <n v="2511"/>
    <x v="12"/>
  </r>
  <r>
    <x v="283"/>
    <x v="9"/>
    <x v="9"/>
    <x v="6"/>
    <x v="0"/>
    <n v="297"/>
    <x v="494"/>
    <n v="1128.6000000000001"/>
    <x v="8"/>
  </r>
  <r>
    <x v="284"/>
    <x v="4"/>
    <x v="2"/>
    <x v="11"/>
    <x v="23"/>
    <n v="364"/>
    <x v="471"/>
    <n v="3276"/>
    <x v="2"/>
  </r>
  <r>
    <x v="284"/>
    <x v="1"/>
    <x v="0"/>
    <x v="15"/>
    <x v="21"/>
    <n v="475"/>
    <x v="495"/>
    <n v="4655"/>
    <x v="8"/>
  </r>
  <r>
    <x v="285"/>
    <x v="0"/>
    <x v="7"/>
    <x v="12"/>
    <x v="37"/>
    <n v="478"/>
    <x v="496"/>
    <n v="4206.4000000000005"/>
    <x v="4"/>
  </r>
  <r>
    <x v="285"/>
    <x v="6"/>
    <x v="1"/>
    <x v="8"/>
    <x v="11"/>
    <n v="315"/>
    <x v="497"/>
    <n v="2394"/>
    <x v="1"/>
  </r>
  <r>
    <x v="286"/>
    <x v="16"/>
    <x v="0"/>
    <x v="3"/>
    <x v="12"/>
    <n v="364"/>
    <x v="87"/>
    <n v="2402.4"/>
    <x v="5"/>
  </r>
  <r>
    <x v="286"/>
    <x v="6"/>
    <x v="6"/>
    <x v="2"/>
    <x v="7"/>
    <n v="228"/>
    <x v="498"/>
    <n v="1687.2"/>
    <x v="8"/>
  </r>
  <r>
    <x v="287"/>
    <x v="9"/>
    <x v="5"/>
    <x v="17"/>
    <x v="9"/>
    <n v="377"/>
    <x v="499"/>
    <n v="1583.4"/>
    <x v="3"/>
  </r>
  <r>
    <x v="288"/>
    <x v="15"/>
    <x v="5"/>
    <x v="14"/>
    <x v="39"/>
    <n v="209"/>
    <x v="75"/>
    <n v="2006.4"/>
    <x v="4"/>
  </r>
  <r>
    <x v="289"/>
    <x v="6"/>
    <x v="0"/>
    <x v="13"/>
    <x v="38"/>
    <n v="481"/>
    <x v="500"/>
    <n v="3751.8"/>
    <x v="7"/>
  </r>
  <r>
    <x v="289"/>
    <x v="16"/>
    <x v="0"/>
    <x v="1"/>
    <x v="19"/>
    <n v="286"/>
    <x v="501"/>
    <n v="629.20000000000005"/>
    <x v="10"/>
  </r>
  <r>
    <x v="290"/>
    <x v="19"/>
    <x v="5"/>
    <x v="8"/>
    <x v="31"/>
    <n v="208"/>
    <x v="502"/>
    <n v="707.2"/>
    <x v="7"/>
  </r>
  <r>
    <x v="291"/>
    <x v="15"/>
    <x v="0"/>
    <x v="14"/>
    <x v="32"/>
    <n v="415"/>
    <x v="503"/>
    <n v="1328"/>
    <x v="8"/>
  </r>
  <r>
    <x v="291"/>
    <x v="17"/>
    <x v="8"/>
    <x v="12"/>
    <x v="21"/>
    <n v="287"/>
    <x v="504"/>
    <n v="2812.6000000000004"/>
    <x v="11"/>
  </r>
  <r>
    <x v="292"/>
    <x v="3"/>
    <x v="9"/>
    <x v="16"/>
    <x v="37"/>
    <n v="412"/>
    <x v="505"/>
    <n v="3625.6000000000004"/>
    <x v="6"/>
  </r>
  <r>
    <x v="292"/>
    <x v="11"/>
    <x v="9"/>
    <x v="1"/>
    <x v="24"/>
    <n v="325"/>
    <x v="506"/>
    <n v="2015"/>
    <x v="2"/>
  </r>
  <r>
    <x v="293"/>
    <x v="16"/>
    <x v="9"/>
    <x v="18"/>
    <x v="11"/>
    <n v="232"/>
    <x v="507"/>
    <n v="1763.2"/>
    <x v="9"/>
  </r>
  <r>
    <x v="293"/>
    <x v="2"/>
    <x v="3"/>
    <x v="10"/>
    <x v="10"/>
    <n v="410"/>
    <x v="508"/>
    <n v="3444"/>
    <x v="10"/>
  </r>
  <r>
    <x v="294"/>
    <x v="15"/>
    <x v="4"/>
    <x v="17"/>
    <x v="0"/>
    <n v="224"/>
    <x v="509"/>
    <n v="851.2"/>
    <x v="11"/>
  </r>
  <r>
    <x v="294"/>
    <x v="14"/>
    <x v="6"/>
    <x v="1"/>
    <x v="28"/>
    <n v="490"/>
    <x v="510"/>
    <n v="2450"/>
    <x v="13"/>
  </r>
  <r>
    <x v="295"/>
    <x v="16"/>
    <x v="2"/>
    <x v="10"/>
    <x v="38"/>
    <n v="431"/>
    <x v="511"/>
    <n v="3361.8"/>
    <x v="6"/>
  </r>
  <r>
    <x v="296"/>
    <x v="17"/>
    <x v="2"/>
    <x v="16"/>
    <x v="2"/>
    <n v="351"/>
    <x v="512"/>
    <n v="2035.8000000000002"/>
    <x v="12"/>
  </r>
  <r>
    <x v="296"/>
    <x v="11"/>
    <x v="4"/>
    <x v="10"/>
    <x v="3"/>
    <n v="337"/>
    <x v="513"/>
    <n v="876.2"/>
    <x v="11"/>
  </r>
  <r>
    <x v="296"/>
    <x v="11"/>
    <x v="4"/>
    <x v="18"/>
    <x v="0"/>
    <n v="307"/>
    <x v="514"/>
    <n v="1166.6000000000001"/>
    <x v="3"/>
  </r>
  <r>
    <x v="297"/>
    <x v="19"/>
    <x v="3"/>
    <x v="2"/>
    <x v="38"/>
    <n v="212"/>
    <x v="515"/>
    <n v="1653.6000000000001"/>
    <x v="13"/>
  </r>
  <r>
    <x v="298"/>
    <x v="17"/>
    <x v="3"/>
    <x v="10"/>
    <x v="14"/>
    <n v="206"/>
    <x v="516"/>
    <n v="1400.8000000000002"/>
    <x v="9"/>
  </r>
  <r>
    <x v="299"/>
    <x v="2"/>
    <x v="2"/>
    <x v="12"/>
    <x v="4"/>
    <n v="367"/>
    <x v="517"/>
    <n v="2055.2000000000003"/>
    <x v="10"/>
  </r>
  <r>
    <x v="300"/>
    <x v="17"/>
    <x v="1"/>
    <x v="3"/>
    <x v="8"/>
    <n v="366"/>
    <x v="518"/>
    <n v="732"/>
    <x v="2"/>
  </r>
  <r>
    <x v="300"/>
    <x v="14"/>
    <x v="3"/>
    <x v="2"/>
    <x v="12"/>
    <n v="270"/>
    <x v="519"/>
    <n v="1782"/>
    <x v="8"/>
  </r>
  <r>
    <x v="301"/>
    <x v="4"/>
    <x v="0"/>
    <x v="4"/>
    <x v="26"/>
    <n v="280"/>
    <x v="520"/>
    <n v="840"/>
    <x v="10"/>
  </r>
  <r>
    <x v="302"/>
    <x v="15"/>
    <x v="4"/>
    <x v="4"/>
    <x v="23"/>
    <n v="415"/>
    <x v="521"/>
    <n v="3735"/>
    <x v="4"/>
  </r>
  <r>
    <x v="302"/>
    <x v="18"/>
    <x v="1"/>
    <x v="9"/>
    <x v="27"/>
    <n v="490"/>
    <x v="522"/>
    <n v="4606"/>
    <x v="6"/>
  </r>
  <r>
    <x v="303"/>
    <x v="11"/>
    <x v="7"/>
    <x v="8"/>
    <x v="34"/>
    <n v="423"/>
    <x v="523"/>
    <n v="1184.4000000000001"/>
    <x v="11"/>
  </r>
  <r>
    <x v="303"/>
    <x v="5"/>
    <x v="7"/>
    <x v="12"/>
    <x v="29"/>
    <n v="264"/>
    <x v="524"/>
    <n v="1056"/>
    <x v="3"/>
  </r>
  <r>
    <x v="304"/>
    <x v="1"/>
    <x v="8"/>
    <x v="12"/>
    <x v="20"/>
    <n v="234"/>
    <x v="525"/>
    <n v="2152.8000000000002"/>
    <x v="6"/>
  </r>
  <r>
    <x v="305"/>
    <x v="16"/>
    <x v="0"/>
    <x v="6"/>
    <x v="36"/>
    <n v="402"/>
    <x v="526"/>
    <n v="3216"/>
    <x v="2"/>
  </r>
  <r>
    <x v="306"/>
    <x v="5"/>
    <x v="7"/>
    <x v="18"/>
    <x v="17"/>
    <n v="493"/>
    <x v="527"/>
    <n v="2958"/>
    <x v="9"/>
  </r>
  <r>
    <x v="307"/>
    <x v="2"/>
    <x v="7"/>
    <x v="12"/>
    <x v="39"/>
    <n v="391"/>
    <x v="528"/>
    <n v="3753.6000000000004"/>
    <x v="9"/>
  </r>
  <r>
    <x v="308"/>
    <x v="7"/>
    <x v="0"/>
    <x v="6"/>
    <x v="39"/>
    <n v="389"/>
    <x v="529"/>
    <n v="3734.4"/>
    <x v="8"/>
  </r>
  <r>
    <x v="308"/>
    <x v="16"/>
    <x v="0"/>
    <x v="15"/>
    <x v="31"/>
    <n v="378"/>
    <x v="530"/>
    <n v="1285.2"/>
    <x v="0"/>
  </r>
  <r>
    <x v="308"/>
    <x v="10"/>
    <x v="3"/>
    <x v="2"/>
    <x v="32"/>
    <n v="472"/>
    <x v="531"/>
    <n v="1510.4"/>
    <x v="6"/>
  </r>
  <r>
    <x v="309"/>
    <x v="7"/>
    <x v="7"/>
    <x v="17"/>
    <x v="10"/>
    <n v="446"/>
    <x v="532"/>
    <n v="3746.4"/>
    <x v="12"/>
  </r>
  <r>
    <x v="309"/>
    <x v="8"/>
    <x v="8"/>
    <x v="2"/>
    <x v="14"/>
    <n v="281"/>
    <x v="533"/>
    <n v="1910.8000000000002"/>
    <x v="5"/>
  </r>
  <r>
    <x v="310"/>
    <x v="11"/>
    <x v="5"/>
    <x v="6"/>
    <x v="30"/>
    <n v="387"/>
    <x v="534"/>
    <n v="928.80000000000007"/>
    <x v="9"/>
  </r>
  <r>
    <x v="311"/>
    <x v="4"/>
    <x v="7"/>
    <x v="5"/>
    <x v="4"/>
    <n v="425"/>
    <x v="535"/>
    <n v="2380"/>
    <x v="12"/>
  </r>
  <r>
    <x v="311"/>
    <x v="9"/>
    <x v="1"/>
    <x v="8"/>
    <x v="18"/>
    <n v="489"/>
    <x v="536"/>
    <n v="4205.4000000000005"/>
    <x v="11"/>
  </r>
  <r>
    <x v="312"/>
    <x v="8"/>
    <x v="2"/>
    <x v="0"/>
    <x v="10"/>
    <n v="237"/>
    <x v="537"/>
    <n v="1990.8000000000002"/>
    <x v="4"/>
  </r>
  <r>
    <x v="313"/>
    <x v="17"/>
    <x v="7"/>
    <x v="6"/>
    <x v="4"/>
    <n v="402"/>
    <x v="538"/>
    <n v="2251.2000000000003"/>
    <x v="0"/>
  </r>
  <r>
    <x v="313"/>
    <x v="16"/>
    <x v="0"/>
    <x v="12"/>
    <x v="1"/>
    <n v="284"/>
    <x v="539"/>
    <n v="2840"/>
    <x v="8"/>
  </r>
  <r>
    <x v="314"/>
    <x v="0"/>
    <x v="9"/>
    <x v="15"/>
    <x v="16"/>
    <n v="478"/>
    <x v="540"/>
    <n v="2103.2000000000003"/>
    <x v="11"/>
  </r>
  <r>
    <x v="314"/>
    <x v="10"/>
    <x v="7"/>
    <x v="10"/>
    <x v="4"/>
    <n v="446"/>
    <x v="541"/>
    <n v="2497.6000000000004"/>
    <x v="8"/>
  </r>
  <r>
    <x v="315"/>
    <x v="14"/>
    <x v="9"/>
    <x v="8"/>
    <x v="17"/>
    <n v="492"/>
    <x v="16"/>
    <n v="2952"/>
    <x v="8"/>
  </r>
  <r>
    <x v="315"/>
    <x v="9"/>
    <x v="9"/>
    <x v="7"/>
    <x v="37"/>
    <n v="223"/>
    <x v="542"/>
    <n v="1962.4"/>
    <x v="8"/>
  </r>
  <r>
    <x v="315"/>
    <x v="3"/>
    <x v="8"/>
    <x v="6"/>
    <x v="7"/>
    <n v="346"/>
    <x v="543"/>
    <n v="2560.4"/>
    <x v="1"/>
  </r>
  <r>
    <x v="316"/>
    <x v="11"/>
    <x v="8"/>
    <x v="14"/>
    <x v="18"/>
    <n v="419"/>
    <x v="544"/>
    <n v="3603.4"/>
    <x v="3"/>
  </r>
  <r>
    <x v="317"/>
    <x v="16"/>
    <x v="1"/>
    <x v="6"/>
    <x v="25"/>
    <n v="368"/>
    <x v="545"/>
    <n v="1324.8000000000002"/>
    <x v="10"/>
  </r>
  <r>
    <x v="318"/>
    <x v="2"/>
    <x v="3"/>
    <x v="5"/>
    <x v="36"/>
    <n v="459"/>
    <x v="546"/>
    <n v="3672"/>
    <x v="0"/>
  </r>
  <r>
    <x v="318"/>
    <x v="18"/>
    <x v="8"/>
    <x v="3"/>
    <x v="14"/>
    <n v="376"/>
    <x v="547"/>
    <n v="2556.8000000000002"/>
    <x v="8"/>
  </r>
  <r>
    <x v="319"/>
    <x v="2"/>
    <x v="0"/>
    <x v="3"/>
    <x v="24"/>
    <n v="303"/>
    <x v="548"/>
    <n v="1878.6000000000001"/>
    <x v="8"/>
  </r>
  <r>
    <x v="319"/>
    <x v="12"/>
    <x v="4"/>
    <x v="10"/>
    <x v="17"/>
    <n v="302"/>
    <x v="549"/>
    <n v="1812"/>
    <x v="11"/>
  </r>
  <r>
    <x v="319"/>
    <x v="18"/>
    <x v="4"/>
    <x v="19"/>
    <x v="26"/>
    <n v="214"/>
    <x v="550"/>
    <n v="642"/>
    <x v="6"/>
  </r>
  <r>
    <x v="319"/>
    <x v="3"/>
    <x v="8"/>
    <x v="18"/>
    <x v="15"/>
    <n v="469"/>
    <x v="551"/>
    <n v="3376.8"/>
    <x v="10"/>
  </r>
  <r>
    <x v="320"/>
    <x v="12"/>
    <x v="0"/>
    <x v="18"/>
    <x v="28"/>
    <n v="429"/>
    <x v="552"/>
    <n v="2145"/>
    <x v="6"/>
  </r>
  <r>
    <x v="321"/>
    <x v="2"/>
    <x v="7"/>
    <x v="19"/>
    <x v="21"/>
    <n v="308"/>
    <x v="553"/>
    <n v="3018.4"/>
    <x v="5"/>
  </r>
  <r>
    <x v="321"/>
    <x v="5"/>
    <x v="0"/>
    <x v="9"/>
    <x v="2"/>
    <n v="354"/>
    <x v="554"/>
    <n v="2053.2000000000003"/>
    <x v="2"/>
  </r>
  <r>
    <x v="321"/>
    <x v="12"/>
    <x v="6"/>
    <x v="16"/>
    <x v="24"/>
    <n v="407"/>
    <x v="555"/>
    <n v="2523.4"/>
    <x v="13"/>
  </r>
  <r>
    <x v="322"/>
    <x v="6"/>
    <x v="4"/>
    <x v="5"/>
    <x v="14"/>
    <n v="279"/>
    <x v="556"/>
    <n v="1897.2"/>
    <x v="5"/>
  </r>
  <r>
    <x v="323"/>
    <x v="2"/>
    <x v="5"/>
    <x v="5"/>
    <x v="39"/>
    <n v="203"/>
    <x v="438"/>
    <n v="1948.8000000000002"/>
    <x v="2"/>
  </r>
  <r>
    <x v="323"/>
    <x v="16"/>
    <x v="6"/>
    <x v="3"/>
    <x v="20"/>
    <n v="249"/>
    <x v="557"/>
    <n v="2290.8000000000002"/>
    <x v="5"/>
  </r>
  <r>
    <x v="324"/>
    <x v="7"/>
    <x v="2"/>
    <x v="11"/>
    <x v="23"/>
    <n v="456"/>
    <x v="558"/>
    <n v="4104"/>
    <x v="0"/>
  </r>
  <r>
    <x v="324"/>
    <x v="4"/>
    <x v="0"/>
    <x v="11"/>
    <x v="7"/>
    <n v="309"/>
    <x v="559"/>
    <n v="2286.6"/>
    <x v="6"/>
  </r>
  <r>
    <x v="325"/>
    <x v="7"/>
    <x v="2"/>
    <x v="16"/>
    <x v="4"/>
    <n v="317"/>
    <x v="560"/>
    <n v="1775.2"/>
    <x v="1"/>
  </r>
  <r>
    <x v="326"/>
    <x v="9"/>
    <x v="9"/>
    <x v="11"/>
    <x v="11"/>
    <n v="415"/>
    <x v="561"/>
    <n v="3154"/>
    <x v="6"/>
  </r>
  <r>
    <x v="326"/>
    <x v="1"/>
    <x v="4"/>
    <x v="16"/>
    <x v="4"/>
    <n v="388"/>
    <x v="562"/>
    <n v="2172.8000000000002"/>
    <x v="11"/>
  </r>
  <r>
    <x v="326"/>
    <x v="13"/>
    <x v="3"/>
    <x v="14"/>
    <x v="14"/>
    <n v="381"/>
    <x v="563"/>
    <n v="2590.8000000000002"/>
    <x v="13"/>
  </r>
  <r>
    <x v="327"/>
    <x v="10"/>
    <x v="3"/>
    <x v="14"/>
    <x v="6"/>
    <n v="243"/>
    <x v="564"/>
    <n v="1555.2"/>
    <x v="4"/>
  </r>
  <r>
    <x v="328"/>
    <x v="10"/>
    <x v="4"/>
    <x v="14"/>
    <x v="33"/>
    <n v="471"/>
    <x v="565"/>
    <n v="2543.4"/>
    <x v="12"/>
  </r>
  <r>
    <x v="329"/>
    <x v="3"/>
    <x v="6"/>
    <x v="11"/>
    <x v="22"/>
    <n v="352"/>
    <x v="566"/>
    <n v="1830.4"/>
    <x v="7"/>
  </r>
  <r>
    <x v="329"/>
    <x v="19"/>
    <x v="6"/>
    <x v="6"/>
    <x v="21"/>
    <n v="224"/>
    <x v="567"/>
    <n v="2195.2000000000003"/>
    <x v="9"/>
  </r>
  <r>
    <x v="330"/>
    <x v="4"/>
    <x v="5"/>
    <x v="11"/>
    <x v="36"/>
    <n v="250"/>
    <x v="568"/>
    <n v="2000"/>
    <x v="4"/>
  </r>
  <r>
    <x v="330"/>
    <x v="1"/>
    <x v="1"/>
    <x v="13"/>
    <x v="37"/>
    <n v="297"/>
    <x v="569"/>
    <n v="2613.6000000000004"/>
    <x v="1"/>
  </r>
  <r>
    <x v="331"/>
    <x v="17"/>
    <x v="4"/>
    <x v="2"/>
    <x v="14"/>
    <n v="295"/>
    <x v="570"/>
    <n v="2006"/>
    <x v="7"/>
  </r>
  <r>
    <x v="331"/>
    <x v="4"/>
    <x v="3"/>
    <x v="6"/>
    <x v="29"/>
    <n v="315"/>
    <x v="571"/>
    <n v="1260"/>
    <x v="3"/>
  </r>
  <r>
    <x v="332"/>
    <x v="11"/>
    <x v="1"/>
    <x v="14"/>
    <x v="1"/>
    <n v="397"/>
    <x v="355"/>
    <n v="3970"/>
    <x v="1"/>
  </r>
  <r>
    <x v="332"/>
    <x v="5"/>
    <x v="8"/>
    <x v="17"/>
    <x v="31"/>
    <n v="495"/>
    <x v="572"/>
    <n v="1683"/>
    <x v="12"/>
  </r>
  <r>
    <x v="333"/>
    <x v="5"/>
    <x v="0"/>
    <x v="3"/>
    <x v="10"/>
    <n v="207"/>
    <x v="573"/>
    <n v="1738.8000000000002"/>
    <x v="11"/>
  </r>
  <r>
    <x v="334"/>
    <x v="13"/>
    <x v="1"/>
    <x v="15"/>
    <x v="14"/>
    <n v="482"/>
    <x v="574"/>
    <n v="3277.6000000000004"/>
    <x v="9"/>
  </r>
  <r>
    <x v="334"/>
    <x v="17"/>
    <x v="8"/>
    <x v="1"/>
    <x v="4"/>
    <n v="276"/>
    <x v="284"/>
    <n v="1545.6000000000001"/>
    <x v="1"/>
  </r>
  <r>
    <x v="335"/>
    <x v="13"/>
    <x v="9"/>
    <x v="5"/>
    <x v="32"/>
    <n v="353"/>
    <x v="575"/>
    <n v="1129.6000000000001"/>
    <x v="2"/>
  </r>
  <r>
    <x v="335"/>
    <x v="5"/>
    <x v="2"/>
    <x v="6"/>
    <x v="20"/>
    <n v="282"/>
    <x v="576"/>
    <n v="2594.4"/>
    <x v="1"/>
  </r>
  <r>
    <x v="335"/>
    <x v="0"/>
    <x v="7"/>
    <x v="12"/>
    <x v="13"/>
    <n v="347"/>
    <x v="577"/>
    <n v="2845.4"/>
    <x v="12"/>
  </r>
  <r>
    <x v="335"/>
    <x v="1"/>
    <x v="7"/>
    <x v="14"/>
    <x v="9"/>
    <n v="259"/>
    <x v="578"/>
    <n v="1087.8"/>
    <x v="1"/>
  </r>
  <r>
    <x v="335"/>
    <x v="15"/>
    <x v="6"/>
    <x v="1"/>
    <x v="7"/>
    <n v="445"/>
    <x v="579"/>
    <n v="3293"/>
    <x v="2"/>
  </r>
  <r>
    <x v="336"/>
    <x v="19"/>
    <x v="4"/>
    <x v="1"/>
    <x v="6"/>
    <n v="395"/>
    <x v="580"/>
    <n v="2528"/>
    <x v="10"/>
  </r>
  <r>
    <x v="337"/>
    <x v="18"/>
    <x v="7"/>
    <x v="8"/>
    <x v="37"/>
    <n v="397"/>
    <x v="581"/>
    <n v="3493.6000000000004"/>
    <x v="1"/>
  </r>
  <r>
    <x v="337"/>
    <x v="17"/>
    <x v="6"/>
    <x v="7"/>
    <x v="40"/>
    <n v="230"/>
    <x v="582"/>
    <n v="1104"/>
    <x v="3"/>
  </r>
  <r>
    <x v="338"/>
    <x v="5"/>
    <x v="4"/>
    <x v="16"/>
    <x v="36"/>
    <n v="474"/>
    <x v="583"/>
    <n v="3792"/>
    <x v="9"/>
  </r>
  <r>
    <x v="339"/>
    <x v="18"/>
    <x v="5"/>
    <x v="15"/>
    <x v="27"/>
    <n v="217"/>
    <x v="584"/>
    <n v="2039.8000000000002"/>
    <x v="3"/>
  </r>
  <r>
    <x v="339"/>
    <x v="14"/>
    <x v="6"/>
    <x v="9"/>
    <x v="38"/>
    <n v="220"/>
    <x v="585"/>
    <n v="1716"/>
    <x v="0"/>
  </r>
  <r>
    <x v="340"/>
    <x v="10"/>
    <x v="7"/>
    <x v="4"/>
    <x v="36"/>
    <n v="437"/>
    <x v="586"/>
    <n v="3496"/>
    <x v="0"/>
  </r>
  <r>
    <x v="340"/>
    <x v="14"/>
    <x v="5"/>
    <x v="19"/>
    <x v="38"/>
    <n v="357"/>
    <x v="587"/>
    <n v="2784.6000000000004"/>
    <x v="8"/>
  </r>
  <r>
    <x v="341"/>
    <x v="13"/>
    <x v="2"/>
    <x v="3"/>
    <x v="16"/>
    <n v="287"/>
    <x v="588"/>
    <n v="1262.8000000000002"/>
    <x v="1"/>
  </r>
  <r>
    <x v="341"/>
    <x v="8"/>
    <x v="6"/>
    <x v="18"/>
    <x v="3"/>
    <n v="433"/>
    <x v="589"/>
    <n v="1125.8"/>
    <x v="12"/>
  </r>
  <r>
    <x v="342"/>
    <x v="15"/>
    <x v="5"/>
    <x v="13"/>
    <x v="9"/>
    <n v="245"/>
    <x v="590"/>
    <n v="1029"/>
    <x v="5"/>
  </r>
  <r>
    <x v="343"/>
    <x v="0"/>
    <x v="2"/>
    <x v="17"/>
    <x v="12"/>
    <n v="475"/>
    <x v="591"/>
    <n v="3135"/>
    <x v="3"/>
  </r>
  <r>
    <x v="343"/>
    <x v="1"/>
    <x v="3"/>
    <x v="16"/>
    <x v="21"/>
    <n v="335"/>
    <x v="592"/>
    <n v="3283"/>
    <x v="10"/>
  </r>
  <r>
    <x v="344"/>
    <x v="5"/>
    <x v="0"/>
    <x v="12"/>
    <x v="8"/>
    <n v="476"/>
    <x v="593"/>
    <n v="952"/>
    <x v="3"/>
  </r>
  <r>
    <x v="345"/>
    <x v="15"/>
    <x v="4"/>
    <x v="12"/>
    <x v="7"/>
    <n v="380"/>
    <x v="594"/>
    <n v="2812"/>
    <x v="12"/>
  </r>
  <r>
    <x v="346"/>
    <x v="7"/>
    <x v="7"/>
    <x v="2"/>
    <x v="10"/>
    <n v="262"/>
    <x v="595"/>
    <n v="2200.8000000000002"/>
    <x v="11"/>
  </r>
  <r>
    <x v="347"/>
    <x v="2"/>
    <x v="6"/>
    <x v="0"/>
    <x v="10"/>
    <n v="225"/>
    <x v="596"/>
    <n v="1890"/>
    <x v="10"/>
  </r>
  <r>
    <x v="348"/>
    <x v="3"/>
    <x v="5"/>
    <x v="17"/>
    <x v="23"/>
    <n v="235"/>
    <x v="597"/>
    <n v="2115"/>
    <x v="1"/>
  </r>
  <r>
    <x v="349"/>
    <x v="17"/>
    <x v="2"/>
    <x v="6"/>
    <x v="25"/>
    <n v="400"/>
    <x v="49"/>
    <n v="1440"/>
    <x v="12"/>
  </r>
  <r>
    <x v="350"/>
    <x v="7"/>
    <x v="2"/>
    <x v="16"/>
    <x v="36"/>
    <n v="320"/>
    <x v="598"/>
    <n v="2560"/>
    <x v="5"/>
  </r>
  <r>
    <x v="351"/>
    <x v="16"/>
    <x v="5"/>
    <x v="6"/>
    <x v="8"/>
    <n v="498"/>
    <x v="145"/>
    <n v="996"/>
    <x v="9"/>
  </r>
  <r>
    <x v="351"/>
    <x v="16"/>
    <x v="3"/>
    <x v="14"/>
    <x v="10"/>
    <n v="321"/>
    <x v="599"/>
    <n v="2696.4"/>
    <x v="7"/>
  </r>
  <r>
    <x v="352"/>
    <x v="13"/>
    <x v="7"/>
    <x v="2"/>
    <x v="17"/>
    <n v="482"/>
    <x v="600"/>
    <n v="2892"/>
    <x v="6"/>
  </r>
  <r>
    <x v="352"/>
    <x v="9"/>
    <x v="8"/>
    <x v="13"/>
    <x v="3"/>
    <n v="350"/>
    <x v="257"/>
    <n v="910"/>
    <x v="9"/>
  </r>
  <r>
    <x v="353"/>
    <x v="16"/>
    <x v="0"/>
    <x v="6"/>
    <x v="35"/>
    <n v="366"/>
    <x v="601"/>
    <n v="1683.6000000000001"/>
    <x v="6"/>
  </r>
  <r>
    <x v="354"/>
    <x v="10"/>
    <x v="9"/>
    <x v="7"/>
    <x v="31"/>
    <n v="473"/>
    <x v="602"/>
    <n v="1608.2"/>
    <x v="3"/>
  </r>
  <r>
    <x v="354"/>
    <x v="7"/>
    <x v="2"/>
    <x v="12"/>
    <x v="16"/>
    <n v="228"/>
    <x v="603"/>
    <n v="1003.2"/>
    <x v="4"/>
  </r>
  <r>
    <x v="355"/>
    <x v="3"/>
    <x v="5"/>
    <x v="7"/>
    <x v="26"/>
    <n v="448"/>
    <x v="604"/>
    <n v="1344"/>
    <x v="3"/>
  </r>
  <r>
    <x v="356"/>
    <x v="6"/>
    <x v="9"/>
    <x v="10"/>
    <x v="10"/>
    <n v="314"/>
    <x v="605"/>
    <n v="2637.6000000000004"/>
    <x v="10"/>
  </r>
  <r>
    <x v="356"/>
    <x v="14"/>
    <x v="6"/>
    <x v="4"/>
    <x v="33"/>
    <n v="390"/>
    <x v="606"/>
    <n v="2106"/>
    <x v="13"/>
  </r>
  <r>
    <x v="356"/>
    <x v="18"/>
    <x v="6"/>
    <x v="5"/>
    <x v="30"/>
    <n v="310"/>
    <x v="607"/>
    <n v="744"/>
    <x v="8"/>
  </r>
  <r>
    <x v="357"/>
    <x v="15"/>
    <x v="6"/>
    <x v="13"/>
    <x v="0"/>
    <n v="322"/>
    <x v="608"/>
    <n v="1223.6000000000001"/>
    <x v="9"/>
  </r>
  <r>
    <x v="357"/>
    <x v="14"/>
    <x v="6"/>
    <x v="2"/>
    <x v="2"/>
    <n v="285"/>
    <x v="50"/>
    <n v="1653"/>
    <x v="6"/>
  </r>
  <r>
    <x v="358"/>
    <x v="18"/>
    <x v="1"/>
    <x v="8"/>
    <x v="9"/>
    <n v="342"/>
    <x v="609"/>
    <n v="1436.4"/>
    <x v="7"/>
  </r>
  <r>
    <x v="359"/>
    <x v="12"/>
    <x v="4"/>
    <x v="8"/>
    <x v="37"/>
    <n v="471"/>
    <x v="610"/>
    <n v="4144.8"/>
    <x v="1"/>
  </r>
  <r>
    <x v="359"/>
    <x v="13"/>
    <x v="6"/>
    <x v="14"/>
    <x v="16"/>
    <n v="384"/>
    <x v="611"/>
    <n v="1689.6000000000001"/>
    <x v="0"/>
  </r>
  <r>
    <x v="360"/>
    <x v="18"/>
    <x v="2"/>
    <x v="1"/>
    <x v="23"/>
    <n v="383"/>
    <x v="612"/>
    <n v="3447"/>
    <x v="6"/>
  </r>
  <r>
    <x v="360"/>
    <x v="7"/>
    <x v="2"/>
    <x v="11"/>
    <x v="20"/>
    <n v="301"/>
    <x v="613"/>
    <n v="2769.2000000000003"/>
    <x v="0"/>
  </r>
  <r>
    <x v="361"/>
    <x v="3"/>
    <x v="5"/>
    <x v="4"/>
    <x v="21"/>
    <n v="261"/>
    <x v="614"/>
    <n v="2557.8000000000002"/>
    <x v="1"/>
  </r>
  <r>
    <x v="362"/>
    <x v="17"/>
    <x v="2"/>
    <x v="11"/>
    <x v="11"/>
    <n v="439"/>
    <x v="615"/>
    <n v="3336.4"/>
    <x v="4"/>
  </r>
  <r>
    <x v="363"/>
    <x v="9"/>
    <x v="6"/>
    <x v="13"/>
    <x v="36"/>
    <n v="286"/>
    <x v="616"/>
    <n v="2288"/>
    <x v="0"/>
  </r>
  <r>
    <x v="364"/>
    <x v="14"/>
    <x v="6"/>
    <x v="9"/>
    <x v="26"/>
    <n v="413"/>
    <x v="297"/>
    <n v="1239"/>
    <x v="5"/>
  </r>
  <r>
    <x v="365"/>
    <x v="16"/>
    <x v="6"/>
    <x v="10"/>
    <x v="40"/>
    <n v="456"/>
    <x v="617"/>
    <n v="2188.8000000000002"/>
    <x v="12"/>
  </r>
  <r>
    <x v="366"/>
    <x v="11"/>
    <x v="9"/>
    <x v="1"/>
    <x v="11"/>
    <n v="430"/>
    <x v="618"/>
    <n v="3268"/>
    <x v="7"/>
  </r>
  <r>
    <x v="366"/>
    <x v="0"/>
    <x v="2"/>
    <x v="4"/>
    <x v="7"/>
    <n v="496"/>
    <x v="619"/>
    <n v="3670.4"/>
    <x v="1"/>
  </r>
  <r>
    <x v="366"/>
    <x v="7"/>
    <x v="5"/>
    <x v="4"/>
    <x v="29"/>
    <n v="312"/>
    <x v="99"/>
    <n v="1248"/>
    <x v="13"/>
  </r>
  <r>
    <x v="366"/>
    <x v="12"/>
    <x v="5"/>
    <x v="2"/>
    <x v="15"/>
    <n v="253"/>
    <x v="620"/>
    <n v="1821.6000000000001"/>
    <x v="0"/>
  </r>
  <r>
    <x v="366"/>
    <x v="12"/>
    <x v="6"/>
    <x v="15"/>
    <x v="12"/>
    <n v="442"/>
    <x v="621"/>
    <n v="2917.2000000000003"/>
    <x v="3"/>
  </r>
  <r>
    <x v="367"/>
    <x v="2"/>
    <x v="7"/>
    <x v="18"/>
    <x v="12"/>
    <n v="267"/>
    <x v="622"/>
    <n v="1762.2"/>
    <x v="2"/>
  </r>
  <r>
    <x v="368"/>
    <x v="0"/>
    <x v="7"/>
    <x v="16"/>
    <x v="22"/>
    <n v="351"/>
    <x v="623"/>
    <n v="1825.2"/>
    <x v="12"/>
  </r>
  <r>
    <x v="368"/>
    <x v="12"/>
    <x v="5"/>
    <x v="3"/>
    <x v="11"/>
    <n v="280"/>
    <x v="624"/>
    <n v="2128"/>
    <x v="11"/>
  </r>
  <r>
    <x v="369"/>
    <x v="10"/>
    <x v="6"/>
    <x v="11"/>
    <x v="2"/>
    <n v="475"/>
    <x v="625"/>
    <n v="2755"/>
    <x v="1"/>
  </r>
  <r>
    <x v="369"/>
    <x v="19"/>
    <x v="1"/>
    <x v="6"/>
    <x v="12"/>
    <n v="280"/>
    <x v="626"/>
    <n v="1848"/>
    <x v="7"/>
  </r>
  <r>
    <x v="370"/>
    <x v="18"/>
    <x v="0"/>
    <x v="0"/>
    <x v="22"/>
    <n v="470"/>
    <x v="30"/>
    <n v="2444"/>
    <x v="2"/>
  </r>
  <r>
    <x v="370"/>
    <x v="12"/>
    <x v="6"/>
    <x v="14"/>
    <x v="0"/>
    <n v="366"/>
    <x v="627"/>
    <n v="1390.8000000000002"/>
    <x v="5"/>
  </r>
  <r>
    <x v="371"/>
    <x v="6"/>
    <x v="2"/>
    <x v="14"/>
    <x v="16"/>
    <n v="320"/>
    <x v="285"/>
    <n v="1408"/>
    <x v="4"/>
  </r>
  <r>
    <x v="372"/>
    <x v="13"/>
    <x v="5"/>
    <x v="14"/>
    <x v="1"/>
    <n v="474"/>
    <x v="628"/>
    <n v="4740"/>
    <x v="0"/>
  </r>
  <r>
    <x v="372"/>
    <x v="11"/>
    <x v="5"/>
    <x v="5"/>
    <x v="30"/>
    <n v="297"/>
    <x v="629"/>
    <n v="712.80000000000007"/>
    <x v="1"/>
  </r>
  <r>
    <x v="372"/>
    <x v="12"/>
    <x v="4"/>
    <x v="17"/>
    <x v="26"/>
    <n v="410"/>
    <x v="630"/>
    <n v="1230"/>
    <x v="11"/>
  </r>
  <r>
    <x v="373"/>
    <x v="5"/>
    <x v="0"/>
    <x v="7"/>
    <x v="10"/>
    <n v="436"/>
    <x v="631"/>
    <n v="3662.4"/>
    <x v="3"/>
  </r>
  <r>
    <x v="374"/>
    <x v="11"/>
    <x v="5"/>
    <x v="5"/>
    <x v="20"/>
    <n v="294"/>
    <x v="632"/>
    <n v="2704.8"/>
    <x v="4"/>
  </r>
  <r>
    <x v="375"/>
    <x v="7"/>
    <x v="2"/>
    <x v="6"/>
    <x v="2"/>
    <n v="473"/>
    <x v="633"/>
    <n v="2743.4"/>
    <x v="1"/>
  </r>
  <r>
    <x v="376"/>
    <x v="3"/>
    <x v="3"/>
    <x v="15"/>
    <x v="1"/>
    <n v="294"/>
    <x v="634"/>
    <n v="2940"/>
    <x v="12"/>
  </r>
  <r>
    <x v="376"/>
    <x v="11"/>
    <x v="8"/>
    <x v="15"/>
    <x v="32"/>
    <n v="474"/>
    <x v="635"/>
    <n v="1516.8000000000002"/>
    <x v="7"/>
  </r>
  <r>
    <x v="377"/>
    <x v="17"/>
    <x v="7"/>
    <x v="7"/>
    <x v="14"/>
    <n v="500"/>
    <x v="636"/>
    <n v="3400"/>
    <x v="7"/>
  </r>
  <r>
    <x v="378"/>
    <x v="2"/>
    <x v="2"/>
    <x v="17"/>
    <x v="27"/>
    <n v="224"/>
    <x v="637"/>
    <n v="2105.6"/>
    <x v="2"/>
  </r>
  <r>
    <x v="378"/>
    <x v="19"/>
    <x v="4"/>
    <x v="17"/>
    <x v="10"/>
    <n v="441"/>
    <x v="638"/>
    <n v="3704.4"/>
    <x v="1"/>
  </r>
  <r>
    <x v="378"/>
    <x v="1"/>
    <x v="1"/>
    <x v="1"/>
    <x v="0"/>
    <n v="414"/>
    <x v="211"/>
    <n v="1573.2"/>
    <x v="7"/>
  </r>
  <r>
    <x v="378"/>
    <x v="2"/>
    <x v="8"/>
    <x v="3"/>
    <x v="8"/>
    <n v="318"/>
    <x v="639"/>
    <n v="636"/>
    <x v="10"/>
  </r>
  <r>
    <x v="379"/>
    <x v="14"/>
    <x v="2"/>
    <x v="8"/>
    <x v="25"/>
    <n v="235"/>
    <x v="640"/>
    <n v="846"/>
    <x v="1"/>
  </r>
  <r>
    <x v="379"/>
    <x v="8"/>
    <x v="4"/>
    <x v="8"/>
    <x v="10"/>
    <n v="386"/>
    <x v="641"/>
    <n v="3242.4"/>
    <x v="10"/>
  </r>
  <r>
    <x v="380"/>
    <x v="4"/>
    <x v="6"/>
    <x v="18"/>
    <x v="22"/>
    <n v="384"/>
    <x v="642"/>
    <n v="1996.8000000000002"/>
    <x v="6"/>
  </r>
  <r>
    <x v="381"/>
    <x v="13"/>
    <x v="2"/>
    <x v="3"/>
    <x v="13"/>
    <n v="245"/>
    <x v="643"/>
    <n v="2009"/>
    <x v="5"/>
  </r>
  <r>
    <x v="382"/>
    <x v="6"/>
    <x v="9"/>
    <x v="19"/>
    <x v="15"/>
    <n v="326"/>
    <x v="644"/>
    <n v="2347.2000000000003"/>
    <x v="11"/>
  </r>
  <r>
    <x v="382"/>
    <x v="2"/>
    <x v="2"/>
    <x v="10"/>
    <x v="11"/>
    <n v="493"/>
    <x v="645"/>
    <n v="3746.8"/>
    <x v="13"/>
  </r>
  <r>
    <x v="382"/>
    <x v="15"/>
    <x v="0"/>
    <x v="17"/>
    <x v="15"/>
    <n v="320"/>
    <x v="646"/>
    <n v="2304"/>
    <x v="12"/>
  </r>
  <r>
    <x v="382"/>
    <x v="7"/>
    <x v="4"/>
    <x v="5"/>
    <x v="35"/>
    <n v="350"/>
    <x v="647"/>
    <n v="1610"/>
    <x v="8"/>
  </r>
  <r>
    <x v="383"/>
    <x v="6"/>
    <x v="6"/>
    <x v="10"/>
    <x v="30"/>
    <n v="287"/>
    <x v="648"/>
    <n v="688.80000000000007"/>
    <x v="1"/>
  </r>
  <r>
    <x v="384"/>
    <x v="10"/>
    <x v="9"/>
    <x v="11"/>
    <x v="35"/>
    <n v="323"/>
    <x v="649"/>
    <n v="1485.8000000000002"/>
    <x v="6"/>
  </r>
  <r>
    <x v="385"/>
    <x v="14"/>
    <x v="3"/>
    <x v="19"/>
    <x v="18"/>
    <n v="496"/>
    <x v="650"/>
    <n v="4265.6000000000004"/>
    <x v="13"/>
  </r>
  <r>
    <x v="386"/>
    <x v="1"/>
    <x v="9"/>
    <x v="5"/>
    <x v="33"/>
    <n v="335"/>
    <x v="651"/>
    <n v="1809"/>
    <x v="10"/>
  </r>
  <r>
    <x v="386"/>
    <x v="9"/>
    <x v="1"/>
    <x v="19"/>
    <x v="4"/>
    <n v="293"/>
    <x v="652"/>
    <n v="1640.8000000000002"/>
    <x v="11"/>
  </r>
  <r>
    <x v="387"/>
    <x v="19"/>
    <x v="9"/>
    <x v="5"/>
    <x v="7"/>
    <n v="392"/>
    <x v="395"/>
    <n v="2900.8"/>
    <x v="3"/>
  </r>
  <r>
    <x v="387"/>
    <x v="9"/>
    <x v="0"/>
    <x v="8"/>
    <x v="2"/>
    <n v="296"/>
    <x v="21"/>
    <n v="1716.8000000000002"/>
    <x v="7"/>
  </r>
  <r>
    <x v="388"/>
    <x v="10"/>
    <x v="3"/>
    <x v="8"/>
    <x v="25"/>
    <n v="266"/>
    <x v="653"/>
    <n v="957.6"/>
    <x v="13"/>
  </r>
  <r>
    <x v="389"/>
    <x v="3"/>
    <x v="8"/>
    <x v="6"/>
    <x v="18"/>
    <n v="207"/>
    <x v="654"/>
    <n v="1780.2"/>
    <x v="10"/>
  </r>
  <r>
    <x v="390"/>
    <x v="11"/>
    <x v="9"/>
    <x v="14"/>
    <x v="15"/>
    <n v="422"/>
    <x v="655"/>
    <n v="3038.4"/>
    <x v="2"/>
  </r>
  <r>
    <x v="390"/>
    <x v="3"/>
    <x v="8"/>
    <x v="7"/>
    <x v="29"/>
    <n v="346"/>
    <x v="656"/>
    <n v="1384"/>
    <x v="12"/>
  </r>
  <r>
    <x v="391"/>
    <x v="8"/>
    <x v="1"/>
    <x v="7"/>
    <x v="12"/>
    <n v="446"/>
    <x v="657"/>
    <n v="2943.6000000000004"/>
    <x v="13"/>
  </r>
  <r>
    <x v="392"/>
    <x v="5"/>
    <x v="2"/>
    <x v="10"/>
    <x v="26"/>
    <n v="392"/>
    <x v="658"/>
    <n v="1176"/>
    <x v="6"/>
  </r>
  <r>
    <x v="393"/>
    <x v="15"/>
    <x v="2"/>
    <x v="19"/>
    <x v="37"/>
    <n v="338"/>
    <x v="659"/>
    <n v="2974.4"/>
    <x v="10"/>
  </r>
  <r>
    <x v="393"/>
    <x v="7"/>
    <x v="4"/>
    <x v="9"/>
    <x v="39"/>
    <n v="346"/>
    <x v="660"/>
    <n v="3321.6000000000004"/>
    <x v="7"/>
  </r>
  <r>
    <x v="394"/>
    <x v="17"/>
    <x v="3"/>
    <x v="11"/>
    <x v="17"/>
    <n v="233"/>
    <x v="661"/>
    <n v="1398"/>
    <x v="2"/>
  </r>
  <r>
    <x v="395"/>
    <x v="2"/>
    <x v="6"/>
    <x v="8"/>
    <x v="7"/>
    <n v="462"/>
    <x v="662"/>
    <n v="3418.8"/>
    <x v="10"/>
  </r>
  <r>
    <x v="395"/>
    <x v="0"/>
    <x v="1"/>
    <x v="4"/>
    <x v="17"/>
    <n v="223"/>
    <x v="663"/>
    <n v="1338"/>
    <x v="7"/>
  </r>
  <r>
    <x v="396"/>
    <x v="17"/>
    <x v="8"/>
    <x v="5"/>
    <x v="34"/>
    <n v="485"/>
    <x v="664"/>
    <n v="1358"/>
    <x v="10"/>
  </r>
  <r>
    <x v="397"/>
    <x v="5"/>
    <x v="9"/>
    <x v="13"/>
    <x v="38"/>
    <n v="393"/>
    <x v="665"/>
    <n v="3065.4"/>
    <x v="6"/>
  </r>
  <r>
    <x v="397"/>
    <x v="8"/>
    <x v="0"/>
    <x v="9"/>
    <x v="35"/>
    <n v="363"/>
    <x v="666"/>
    <n v="1669.8000000000002"/>
    <x v="7"/>
  </r>
  <r>
    <x v="398"/>
    <x v="13"/>
    <x v="1"/>
    <x v="18"/>
    <x v="10"/>
    <n v="447"/>
    <x v="667"/>
    <n v="3754.8"/>
    <x v="11"/>
  </r>
  <r>
    <x v="398"/>
    <x v="16"/>
    <x v="8"/>
    <x v="16"/>
    <x v="31"/>
    <n v="416"/>
    <x v="668"/>
    <n v="1414.4"/>
    <x v="8"/>
  </r>
  <r>
    <x v="399"/>
    <x v="4"/>
    <x v="3"/>
    <x v="10"/>
    <x v="39"/>
    <n v="336"/>
    <x v="176"/>
    <n v="3225.6000000000004"/>
    <x v="6"/>
  </r>
  <r>
    <x v="400"/>
    <x v="17"/>
    <x v="3"/>
    <x v="10"/>
    <x v="24"/>
    <n v="428"/>
    <x v="669"/>
    <n v="2653.6000000000004"/>
    <x v="7"/>
  </r>
  <r>
    <x v="401"/>
    <x v="16"/>
    <x v="6"/>
    <x v="19"/>
    <x v="14"/>
    <n v="302"/>
    <x v="670"/>
    <n v="2053.6"/>
    <x v="3"/>
  </r>
  <r>
    <x v="401"/>
    <x v="7"/>
    <x v="6"/>
    <x v="11"/>
    <x v="34"/>
    <n v="243"/>
    <x v="671"/>
    <n v="680.40000000000009"/>
    <x v="10"/>
  </r>
  <r>
    <x v="401"/>
    <x v="1"/>
    <x v="1"/>
    <x v="12"/>
    <x v="37"/>
    <n v="457"/>
    <x v="672"/>
    <n v="4021.6000000000004"/>
    <x v="2"/>
  </r>
  <r>
    <x v="402"/>
    <x v="10"/>
    <x v="0"/>
    <x v="5"/>
    <x v="31"/>
    <n v="385"/>
    <x v="673"/>
    <n v="1309"/>
    <x v="0"/>
  </r>
  <r>
    <x v="403"/>
    <x v="9"/>
    <x v="7"/>
    <x v="19"/>
    <x v="40"/>
    <n v="497"/>
    <x v="674"/>
    <n v="2385.6"/>
    <x v="1"/>
  </r>
  <r>
    <x v="404"/>
    <x v="4"/>
    <x v="4"/>
    <x v="2"/>
    <x v="35"/>
    <n v="431"/>
    <x v="675"/>
    <n v="1982.6000000000001"/>
    <x v="5"/>
  </r>
  <r>
    <x v="404"/>
    <x v="0"/>
    <x v="6"/>
    <x v="16"/>
    <x v="9"/>
    <n v="243"/>
    <x v="676"/>
    <n v="1020.6"/>
    <x v="0"/>
  </r>
  <r>
    <x v="405"/>
    <x v="2"/>
    <x v="6"/>
    <x v="12"/>
    <x v="24"/>
    <n v="366"/>
    <x v="677"/>
    <n v="2269.2000000000003"/>
    <x v="8"/>
  </r>
  <r>
    <x v="406"/>
    <x v="2"/>
    <x v="2"/>
    <x v="0"/>
    <x v="22"/>
    <n v="250"/>
    <x v="678"/>
    <n v="1300"/>
    <x v="3"/>
  </r>
  <r>
    <x v="406"/>
    <x v="1"/>
    <x v="2"/>
    <x v="10"/>
    <x v="10"/>
    <n v="211"/>
    <x v="679"/>
    <n v="1772.4"/>
    <x v="8"/>
  </r>
  <r>
    <x v="407"/>
    <x v="10"/>
    <x v="7"/>
    <x v="18"/>
    <x v="17"/>
    <n v="377"/>
    <x v="680"/>
    <n v="2262"/>
    <x v="9"/>
  </r>
  <r>
    <x v="408"/>
    <x v="14"/>
    <x v="2"/>
    <x v="9"/>
    <x v="4"/>
    <n v="250"/>
    <x v="681"/>
    <n v="1400"/>
    <x v="12"/>
  </r>
  <r>
    <x v="409"/>
    <x v="13"/>
    <x v="9"/>
    <x v="8"/>
    <x v="15"/>
    <n v="288"/>
    <x v="682"/>
    <n v="2073.6"/>
    <x v="13"/>
  </r>
  <r>
    <x v="410"/>
    <x v="10"/>
    <x v="0"/>
    <x v="7"/>
    <x v="29"/>
    <n v="257"/>
    <x v="683"/>
    <n v="1028"/>
    <x v="12"/>
  </r>
  <r>
    <x v="411"/>
    <x v="3"/>
    <x v="5"/>
    <x v="17"/>
    <x v="3"/>
    <n v="497"/>
    <x v="684"/>
    <n v="1292.2"/>
    <x v="10"/>
  </r>
  <r>
    <x v="411"/>
    <x v="3"/>
    <x v="5"/>
    <x v="16"/>
    <x v="27"/>
    <n v="245"/>
    <x v="685"/>
    <n v="2303"/>
    <x v="6"/>
  </r>
  <r>
    <x v="412"/>
    <x v="19"/>
    <x v="5"/>
    <x v="17"/>
    <x v="2"/>
    <n v="351"/>
    <x v="512"/>
    <n v="2035.8000000000002"/>
    <x v="10"/>
  </r>
  <r>
    <x v="412"/>
    <x v="16"/>
    <x v="4"/>
    <x v="6"/>
    <x v="19"/>
    <n v="473"/>
    <x v="686"/>
    <n v="1040.6000000000001"/>
    <x v="3"/>
  </r>
  <r>
    <x v="413"/>
    <x v="10"/>
    <x v="9"/>
    <x v="15"/>
    <x v="26"/>
    <n v="337"/>
    <x v="687"/>
    <n v="1011"/>
    <x v="7"/>
  </r>
  <r>
    <x v="413"/>
    <x v="14"/>
    <x v="4"/>
    <x v="8"/>
    <x v="2"/>
    <n v="253"/>
    <x v="688"/>
    <n v="1467.4"/>
    <x v="1"/>
  </r>
  <r>
    <x v="413"/>
    <x v="16"/>
    <x v="3"/>
    <x v="13"/>
    <x v="17"/>
    <n v="304"/>
    <x v="689"/>
    <n v="1824"/>
    <x v="4"/>
  </r>
  <r>
    <x v="414"/>
    <x v="1"/>
    <x v="2"/>
    <x v="12"/>
    <x v="27"/>
    <n v="327"/>
    <x v="690"/>
    <n v="3073.8"/>
    <x v="2"/>
  </r>
  <r>
    <x v="414"/>
    <x v="12"/>
    <x v="1"/>
    <x v="1"/>
    <x v="28"/>
    <n v="452"/>
    <x v="691"/>
    <n v="2260"/>
    <x v="1"/>
  </r>
  <r>
    <x v="414"/>
    <x v="17"/>
    <x v="3"/>
    <x v="18"/>
    <x v="37"/>
    <n v="338"/>
    <x v="659"/>
    <n v="2974.4"/>
    <x v="6"/>
  </r>
  <r>
    <x v="415"/>
    <x v="14"/>
    <x v="6"/>
    <x v="10"/>
    <x v="28"/>
    <n v="319"/>
    <x v="692"/>
    <n v="1595"/>
    <x v="12"/>
  </r>
  <r>
    <x v="415"/>
    <x v="17"/>
    <x v="3"/>
    <x v="0"/>
    <x v="36"/>
    <n v="452"/>
    <x v="693"/>
    <n v="3616"/>
    <x v="5"/>
  </r>
  <r>
    <x v="416"/>
    <x v="14"/>
    <x v="4"/>
    <x v="12"/>
    <x v="26"/>
    <n v="435"/>
    <x v="694"/>
    <n v="1305"/>
    <x v="9"/>
  </r>
  <r>
    <x v="416"/>
    <x v="19"/>
    <x v="1"/>
    <x v="10"/>
    <x v="36"/>
    <n v="434"/>
    <x v="454"/>
    <n v="3472"/>
    <x v="9"/>
  </r>
  <r>
    <x v="417"/>
    <x v="16"/>
    <x v="8"/>
    <x v="8"/>
    <x v="22"/>
    <n v="282"/>
    <x v="695"/>
    <n v="1466.4"/>
    <x v="11"/>
  </r>
  <r>
    <x v="418"/>
    <x v="12"/>
    <x v="0"/>
    <x v="17"/>
    <x v="2"/>
    <n v="314"/>
    <x v="696"/>
    <n v="1821.2"/>
    <x v="11"/>
  </r>
  <r>
    <x v="418"/>
    <x v="5"/>
    <x v="1"/>
    <x v="3"/>
    <x v="7"/>
    <n v="339"/>
    <x v="697"/>
    <n v="2508.6000000000004"/>
    <x v="5"/>
  </r>
  <r>
    <x v="418"/>
    <x v="13"/>
    <x v="8"/>
    <x v="5"/>
    <x v="27"/>
    <n v="294"/>
    <x v="698"/>
    <n v="2763.6000000000004"/>
    <x v="6"/>
  </r>
  <r>
    <x v="418"/>
    <x v="18"/>
    <x v="8"/>
    <x v="10"/>
    <x v="7"/>
    <n v="278"/>
    <x v="699"/>
    <n v="2057.2000000000003"/>
    <x v="7"/>
  </r>
  <r>
    <x v="419"/>
    <x v="11"/>
    <x v="4"/>
    <x v="10"/>
    <x v="33"/>
    <n v="463"/>
    <x v="700"/>
    <n v="2500.2000000000003"/>
    <x v="6"/>
  </r>
  <r>
    <x v="419"/>
    <x v="15"/>
    <x v="1"/>
    <x v="7"/>
    <x v="5"/>
    <n v="348"/>
    <x v="701"/>
    <n v="2436"/>
    <x v="1"/>
  </r>
  <r>
    <x v="420"/>
    <x v="3"/>
    <x v="5"/>
    <x v="2"/>
    <x v="21"/>
    <n v="315"/>
    <x v="702"/>
    <n v="3087"/>
    <x v="0"/>
  </r>
  <r>
    <x v="421"/>
    <x v="7"/>
    <x v="3"/>
    <x v="16"/>
    <x v="32"/>
    <n v="256"/>
    <x v="367"/>
    <n v="819.2"/>
    <x v="5"/>
  </r>
  <r>
    <x v="422"/>
    <x v="3"/>
    <x v="0"/>
    <x v="6"/>
    <x v="31"/>
    <n v="243"/>
    <x v="703"/>
    <n v="826.2"/>
    <x v="1"/>
  </r>
  <r>
    <x v="423"/>
    <x v="3"/>
    <x v="8"/>
    <x v="3"/>
    <x v="10"/>
    <n v="404"/>
    <x v="704"/>
    <n v="3393.6000000000004"/>
    <x v="5"/>
  </r>
  <r>
    <x v="424"/>
    <x v="4"/>
    <x v="5"/>
    <x v="12"/>
    <x v="21"/>
    <n v="210"/>
    <x v="40"/>
    <n v="2058"/>
    <x v="6"/>
  </r>
  <r>
    <x v="425"/>
    <x v="15"/>
    <x v="7"/>
    <x v="18"/>
    <x v="9"/>
    <n v="393"/>
    <x v="705"/>
    <n v="1650.6000000000001"/>
    <x v="6"/>
  </r>
  <r>
    <x v="425"/>
    <x v="18"/>
    <x v="7"/>
    <x v="17"/>
    <x v="40"/>
    <n v="285"/>
    <x v="706"/>
    <n v="1368"/>
    <x v="9"/>
  </r>
  <r>
    <x v="426"/>
    <x v="12"/>
    <x v="7"/>
    <x v="5"/>
    <x v="32"/>
    <n v="428"/>
    <x v="707"/>
    <n v="1369.6000000000001"/>
    <x v="11"/>
  </r>
  <r>
    <x v="426"/>
    <x v="16"/>
    <x v="0"/>
    <x v="13"/>
    <x v="22"/>
    <n v="479"/>
    <x v="708"/>
    <n v="2490.8000000000002"/>
    <x v="1"/>
  </r>
  <r>
    <x v="427"/>
    <x v="6"/>
    <x v="5"/>
    <x v="0"/>
    <x v="30"/>
    <n v="342"/>
    <x v="709"/>
    <n v="820.80000000000007"/>
    <x v="13"/>
  </r>
  <r>
    <x v="428"/>
    <x v="16"/>
    <x v="0"/>
    <x v="16"/>
    <x v="31"/>
    <n v="327"/>
    <x v="710"/>
    <n v="1111.8"/>
    <x v="1"/>
  </r>
  <r>
    <x v="428"/>
    <x v="12"/>
    <x v="8"/>
    <x v="18"/>
    <x v="17"/>
    <n v="455"/>
    <x v="711"/>
    <n v="2730"/>
    <x v="5"/>
  </r>
  <r>
    <x v="429"/>
    <x v="19"/>
    <x v="2"/>
    <x v="6"/>
    <x v="28"/>
    <n v="302"/>
    <x v="712"/>
    <n v="1510"/>
    <x v="11"/>
  </r>
  <r>
    <x v="429"/>
    <x v="5"/>
    <x v="3"/>
    <x v="6"/>
    <x v="24"/>
    <n v="454"/>
    <x v="713"/>
    <n v="2814.8"/>
    <x v="12"/>
  </r>
  <r>
    <x v="430"/>
    <x v="17"/>
    <x v="2"/>
    <x v="12"/>
    <x v="28"/>
    <n v="430"/>
    <x v="714"/>
    <n v="2150"/>
    <x v="4"/>
  </r>
  <r>
    <x v="430"/>
    <x v="7"/>
    <x v="2"/>
    <x v="6"/>
    <x v="40"/>
    <n v="297"/>
    <x v="96"/>
    <n v="1425.6000000000001"/>
    <x v="8"/>
  </r>
  <r>
    <x v="430"/>
    <x v="8"/>
    <x v="6"/>
    <x v="15"/>
    <x v="5"/>
    <n v="379"/>
    <x v="715"/>
    <n v="2653"/>
    <x v="4"/>
  </r>
  <r>
    <x v="430"/>
    <x v="10"/>
    <x v="8"/>
    <x v="15"/>
    <x v="22"/>
    <n v="473"/>
    <x v="716"/>
    <n v="2459.6000000000004"/>
    <x v="3"/>
  </r>
  <r>
    <x v="431"/>
    <x v="12"/>
    <x v="2"/>
    <x v="7"/>
    <x v="33"/>
    <n v="291"/>
    <x v="717"/>
    <n v="1571.4"/>
    <x v="9"/>
  </r>
  <r>
    <x v="431"/>
    <x v="17"/>
    <x v="3"/>
    <x v="4"/>
    <x v="15"/>
    <n v="283"/>
    <x v="718"/>
    <n v="2037.6000000000001"/>
    <x v="13"/>
  </r>
  <r>
    <x v="432"/>
    <x v="17"/>
    <x v="4"/>
    <x v="0"/>
    <x v="13"/>
    <n v="292"/>
    <x v="719"/>
    <n v="2394.4"/>
    <x v="10"/>
  </r>
  <r>
    <x v="433"/>
    <x v="12"/>
    <x v="0"/>
    <x v="19"/>
    <x v="37"/>
    <n v="312"/>
    <x v="720"/>
    <n v="2745.6000000000004"/>
    <x v="4"/>
  </r>
  <r>
    <x v="433"/>
    <x v="19"/>
    <x v="5"/>
    <x v="4"/>
    <x v="12"/>
    <n v="497"/>
    <x v="721"/>
    <n v="3280.2000000000003"/>
    <x v="13"/>
  </r>
  <r>
    <x v="434"/>
    <x v="11"/>
    <x v="0"/>
    <x v="1"/>
    <x v="36"/>
    <n v="311"/>
    <x v="722"/>
    <n v="2488"/>
    <x v="11"/>
  </r>
  <r>
    <x v="434"/>
    <x v="13"/>
    <x v="6"/>
    <x v="17"/>
    <x v="6"/>
    <n v="464"/>
    <x v="723"/>
    <n v="2969.6000000000004"/>
    <x v="9"/>
  </r>
  <r>
    <x v="434"/>
    <x v="2"/>
    <x v="8"/>
    <x v="17"/>
    <x v="16"/>
    <n v="207"/>
    <x v="724"/>
    <n v="910.80000000000007"/>
    <x v="3"/>
  </r>
  <r>
    <x v="435"/>
    <x v="16"/>
    <x v="2"/>
    <x v="7"/>
    <x v="14"/>
    <n v="235"/>
    <x v="725"/>
    <n v="1598"/>
    <x v="6"/>
  </r>
  <r>
    <x v="435"/>
    <x v="5"/>
    <x v="8"/>
    <x v="11"/>
    <x v="23"/>
    <n v="341"/>
    <x v="726"/>
    <n v="3069"/>
    <x v="0"/>
  </r>
  <r>
    <x v="436"/>
    <x v="18"/>
    <x v="0"/>
    <x v="15"/>
    <x v="25"/>
    <n v="363"/>
    <x v="727"/>
    <n v="1306.8000000000002"/>
    <x v="6"/>
  </r>
  <r>
    <x v="437"/>
    <x v="16"/>
    <x v="5"/>
    <x v="15"/>
    <x v="9"/>
    <n v="257"/>
    <x v="728"/>
    <n v="1079.4000000000001"/>
    <x v="11"/>
  </r>
  <r>
    <x v="438"/>
    <x v="1"/>
    <x v="8"/>
    <x v="13"/>
    <x v="6"/>
    <n v="308"/>
    <x v="729"/>
    <n v="1971.2"/>
    <x v="13"/>
  </r>
  <r>
    <x v="439"/>
    <x v="16"/>
    <x v="8"/>
    <x v="18"/>
    <x v="39"/>
    <n v="211"/>
    <x v="730"/>
    <n v="2025.6000000000001"/>
    <x v="6"/>
  </r>
  <r>
    <x v="440"/>
    <x v="4"/>
    <x v="1"/>
    <x v="5"/>
    <x v="36"/>
    <n v="232"/>
    <x v="731"/>
    <n v="1856"/>
    <x v="0"/>
  </r>
  <r>
    <x v="441"/>
    <x v="3"/>
    <x v="9"/>
    <x v="9"/>
    <x v="2"/>
    <n v="323"/>
    <x v="732"/>
    <n v="1873.4"/>
    <x v="11"/>
  </r>
  <r>
    <x v="441"/>
    <x v="9"/>
    <x v="4"/>
    <x v="3"/>
    <x v="5"/>
    <n v="361"/>
    <x v="733"/>
    <n v="2527"/>
    <x v="5"/>
  </r>
  <r>
    <x v="442"/>
    <x v="17"/>
    <x v="3"/>
    <x v="9"/>
    <x v="37"/>
    <n v="246"/>
    <x v="166"/>
    <n v="2164.8000000000002"/>
    <x v="9"/>
  </r>
  <r>
    <x v="443"/>
    <x v="13"/>
    <x v="2"/>
    <x v="8"/>
    <x v="0"/>
    <n v="424"/>
    <x v="311"/>
    <n v="1611.2"/>
    <x v="3"/>
  </r>
  <r>
    <x v="444"/>
    <x v="11"/>
    <x v="1"/>
    <x v="9"/>
    <x v="35"/>
    <n v="252"/>
    <x v="734"/>
    <n v="1159.2"/>
    <x v="12"/>
  </r>
  <r>
    <x v="445"/>
    <x v="8"/>
    <x v="4"/>
    <x v="18"/>
    <x v="2"/>
    <n v="381"/>
    <x v="735"/>
    <n v="2209.8000000000002"/>
    <x v="12"/>
  </r>
  <r>
    <x v="445"/>
    <x v="11"/>
    <x v="1"/>
    <x v="17"/>
    <x v="40"/>
    <n v="250"/>
    <x v="122"/>
    <n v="1200"/>
    <x v="5"/>
  </r>
  <r>
    <x v="446"/>
    <x v="6"/>
    <x v="3"/>
    <x v="12"/>
    <x v="15"/>
    <n v="412"/>
    <x v="82"/>
    <n v="2966.4"/>
    <x v="8"/>
  </r>
  <r>
    <x v="447"/>
    <x v="12"/>
    <x v="7"/>
    <x v="2"/>
    <x v="7"/>
    <n v="377"/>
    <x v="736"/>
    <n v="2789.8"/>
    <x v="0"/>
  </r>
  <r>
    <x v="448"/>
    <x v="15"/>
    <x v="0"/>
    <x v="15"/>
    <x v="24"/>
    <n v="489"/>
    <x v="737"/>
    <n v="3031.8"/>
    <x v="6"/>
  </r>
  <r>
    <x v="448"/>
    <x v="9"/>
    <x v="1"/>
    <x v="3"/>
    <x v="1"/>
    <n v="446"/>
    <x v="738"/>
    <n v="4460"/>
    <x v="4"/>
  </r>
  <r>
    <x v="449"/>
    <x v="6"/>
    <x v="9"/>
    <x v="8"/>
    <x v="28"/>
    <n v="297"/>
    <x v="739"/>
    <n v="1485"/>
    <x v="4"/>
  </r>
  <r>
    <x v="450"/>
    <x v="5"/>
    <x v="8"/>
    <x v="4"/>
    <x v="21"/>
    <n v="281"/>
    <x v="740"/>
    <n v="2753.8"/>
    <x v="13"/>
  </r>
  <r>
    <x v="451"/>
    <x v="5"/>
    <x v="8"/>
    <x v="19"/>
    <x v="33"/>
    <n v="331"/>
    <x v="741"/>
    <n v="1787.4"/>
    <x v="10"/>
  </r>
  <r>
    <x v="452"/>
    <x v="13"/>
    <x v="9"/>
    <x v="10"/>
    <x v="23"/>
    <n v="227"/>
    <x v="742"/>
    <n v="2043"/>
    <x v="8"/>
  </r>
  <r>
    <x v="452"/>
    <x v="4"/>
    <x v="5"/>
    <x v="18"/>
    <x v="4"/>
    <n v="490"/>
    <x v="743"/>
    <n v="2744"/>
    <x v="13"/>
  </r>
  <r>
    <x v="452"/>
    <x v="4"/>
    <x v="5"/>
    <x v="16"/>
    <x v="10"/>
    <n v="356"/>
    <x v="744"/>
    <n v="2990.4"/>
    <x v="9"/>
  </r>
  <r>
    <x v="453"/>
    <x v="6"/>
    <x v="6"/>
    <x v="18"/>
    <x v="31"/>
    <n v="331"/>
    <x v="745"/>
    <n v="1125.4000000000001"/>
    <x v="10"/>
  </r>
  <r>
    <x v="454"/>
    <x v="16"/>
    <x v="9"/>
    <x v="3"/>
    <x v="38"/>
    <n v="448"/>
    <x v="746"/>
    <n v="3494.4"/>
    <x v="13"/>
  </r>
  <r>
    <x v="454"/>
    <x v="11"/>
    <x v="5"/>
    <x v="15"/>
    <x v="25"/>
    <n v="467"/>
    <x v="747"/>
    <n v="1681.2"/>
    <x v="13"/>
  </r>
  <r>
    <x v="454"/>
    <x v="9"/>
    <x v="1"/>
    <x v="17"/>
    <x v="0"/>
    <n v="265"/>
    <x v="748"/>
    <n v="1007"/>
    <x v="5"/>
  </r>
  <r>
    <x v="455"/>
    <x v="3"/>
    <x v="6"/>
    <x v="0"/>
    <x v="17"/>
    <n v="446"/>
    <x v="749"/>
    <n v="2676"/>
    <x v="7"/>
  </r>
  <r>
    <x v="455"/>
    <x v="8"/>
    <x v="1"/>
    <x v="7"/>
    <x v="5"/>
    <n v="334"/>
    <x v="750"/>
    <n v="2338"/>
    <x v="10"/>
  </r>
  <r>
    <x v="455"/>
    <x v="19"/>
    <x v="1"/>
    <x v="14"/>
    <x v="26"/>
    <n v="333"/>
    <x v="751"/>
    <n v="999"/>
    <x v="10"/>
  </r>
  <r>
    <x v="456"/>
    <x v="10"/>
    <x v="9"/>
    <x v="5"/>
    <x v="20"/>
    <n v="383"/>
    <x v="752"/>
    <n v="3523.6000000000004"/>
    <x v="5"/>
  </r>
  <r>
    <x v="456"/>
    <x v="8"/>
    <x v="2"/>
    <x v="10"/>
    <x v="30"/>
    <n v="302"/>
    <x v="753"/>
    <n v="724.80000000000007"/>
    <x v="1"/>
  </r>
  <r>
    <x v="457"/>
    <x v="1"/>
    <x v="3"/>
    <x v="1"/>
    <x v="15"/>
    <n v="285"/>
    <x v="754"/>
    <n v="2052"/>
    <x v="6"/>
  </r>
  <r>
    <x v="458"/>
    <x v="7"/>
    <x v="9"/>
    <x v="10"/>
    <x v="37"/>
    <n v="413"/>
    <x v="755"/>
    <n v="3634.4"/>
    <x v="5"/>
  </r>
  <r>
    <x v="458"/>
    <x v="7"/>
    <x v="5"/>
    <x v="13"/>
    <x v="39"/>
    <n v="289"/>
    <x v="756"/>
    <n v="2774.4"/>
    <x v="10"/>
  </r>
  <r>
    <x v="458"/>
    <x v="18"/>
    <x v="5"/>
    <x v="18"/>
    <x v="9"/>
    <n v="277"/>
    <x v="757"/>
    <n v="1163.4000000000001"/>
    <x v="13"/>
  </r>
  <r>
    <x v="458"/>
    <x v="2"/>
    <x v="1"/>
    <x v="7"/>
    <x v="34"/>
    <n v="488"/>
    <x v="758"/>
    <n v="1366.4"/>
    <x v="0"/>
  </r>
  <r>
    <x v="459"/>
    <x v="18"/>
    <x v="2"/>
    <x v="5"/>
    <x v="5"/>
    <n v="482"/>
    <x v="759"/>
    <n v="3374"/>
    <x v="13"/>
  </r>
  <r>
    <x v="459"/>
    <x v="1"/>
    <x v="5"/>
    <x v="5"/>
    <x v="28"/>
    <n v="216"/>
    <x v="760"/>
    <n v="1080"/>
    <x v="2"/>
  </r>
  <r>
    <x v="460"/>
    <x v="8"/>
    <x v="9"/>
    <x v="10"/>
    <x v="2"/>
    <n v="347"/>
    <x v="761"/>
    <n v="2012.6000000000001"/>
    <x v="4"/>
  </r>
  <r>
    <x v="460"/>
    <x v="14"/>
    <x v="7"/>
    <x v="18"/>
    <x v="7"/>
    <n v="314"/>
    <x v="762"/>
    <n v="2323.6"/>
    <x v="12"/>
  </r>
  <r>
    <x v="461"/>
    <x v="2"/>
    <x v="0"/>
    <x v="12"/>
    <x v="34"/>
    <n v="494"/>
    <x v="763"/>
    <n v="1383.2"/>
    <x v="7"/>
  </r>
  <r>
    <x v="462"/>
    <x v="4"/>
    <x v="0"/>
    <x v="10"/>
    <x v="7"/>
    <n v="456"/>
    <x v="764"/>
    <n v="3374.4"/>
    <x v="5"/>
  </r>
  <r>
    <x v="462"/>
    <x v="5"/>
    <x v="0"/>
    <x v="16"/>
    <x v="36"/>
    <n v="439"/>
    <x v="765"/>
    <n v="3512"/>
    <x v="9"/>
  </r>
  <r>
    <x v="462"/>
    <x v="3"/>
    <x v="5"/>
    <x v="17"/>
    <x v="23"/>
    <n v="283"/>
    <x v="33"/>
    <n v="2547"/>
    <x v="2"/>
  </r>
  <r>
    <x v="463"/>
    <x v="15"/>
    <x v="6"/>
    <x v="14"/>
    <x v="20"/>
    <n v="406"/>
    <x v="766"/>
    <n v="3735.2000000000003"/>
    <x v="8"/>
  </r>
  <r>
    <x v="464"/>
    <x v="15"/>
    <x v="7"/>
    <x v="1"/>
    <x v="33"/>
    <n v="389"/>
    <x v="767"/>
    <n v="2100.6"/>
    <x v="6"/>
  </r>
  <r>
    <x v="464"/>
    <x v="18"/>
    <x v="6"/>
    <x v="3"/>
    <x v="36"/>
    <n v="448"/>
    <x v="768"/>
    <n v="3584"/>
    <x v="9"/>
  </r>
  <r>
    <x v="464"/>
    <x v="17"/>
    <x v="1"/>
    <x v="9"/>
    <x v="21"/>
    <n v="412"/>
    <x v="769"/>
    <n v="4037.6000000000004"/>
    <x v="6"/>
  </r>
  <r>
    <x v="465"/>
    <x v="19"/>
    <x v="9"/>
    <x v="13"/>
    <x v="12"/>
    <n v="340"/>
    <x v="770"/>
    <n v="2244"/>
    <x v="7"/>
  </r>
  <r>
    <x v="465"/>
    <x v="7"/>
    <x v="7"/>
    <x v="11"/>
    <x v="26"/>
    <n v="344"/>
    <x v="771"/>
    <n v="1032"/>
    <x v="3"/>
  </r>
  <r>
    <x v="465"/>
    <x v="1"/>
    <x v="6"/>
    <x v="1"/>
    <x v="3"/>
    <n v="351"/>
    <x v="772"/>
    <n v="912.6"/>
    <x v="12"/>
  </r>
  <r>
    <x v="465"/>
    <x v="9"/>
    <x v="3"/>
    <x v="6"/>
    <x v="39"/>
    <n v="213"/>
    <x v="773"/>
    <n v="2044.8000000000002"/>
    <x v="1"/>
  </r>
  <r>
    <x v="466"/>
    <x v="8"/>
    <x v="9"/>
    <x v="7"/>
    <x v="21"/>
    <n v="332"/>
    <x v="774"/>
    <n v="3253.6000000000004"/>
    <x v="1"/>
  </r>
  <r>
    <x v="466"/>
    <x v="7"/>
    <x v="0"/>
    <x v="17"/>
    <x v="15"/>
    <n v="301"/>
    <x v="775"/>
    <n v="2167.2000000000003"/>
    <x v="2"/>
  </r>
  <r>
    <x v="466"/>
    <x v="5"/>
    <x v="5"/>
    <x v="8"/>
    <x v="34"/>
    <n v="471"/>
    <x v="776"/>
    <n v="1318.8000000000002"/>
    <x v="6"/>
  </r>
  <r>
    <x v="466"/>
    <x v="4"/>
    <x v="8"/>
    <x v="6"/>
    <x v="31"/>
    <n v="320"/>
    <x v="777"/>
    <n v="1088"/>
    <x v="8"/>
  </r>
  <r>
    <x v="467"/>
    <x v="15"/>
    <x v="3"/>
    <x v="17"/>
    <x v="11"/>
    <n v="480"/>
    <x v="778"/>
    <n v="3648"/>
    <x v="10"/>
  </r>
  <r>
    <x v="468"/>
    <x v="1"/>
    <x v="4"/>
    <x v="13"/>
    <x v="26"/>
    <n v="297"/>
    <x v="779"/>
    <n v="891"/>
    <x v="13"/>
  </r>
  <r>
    <x v="469"/>
    <x v="8"/>
    <x v="9"/>
    <x v="8"/>
    <x v="3"/>
    <n v="413"/>
    <x v="780"/>
    <n v="1073.8"/>
    <x v="6"/>
  </r>
  <r>
    <x v="469"/>
    <x v="14"/>
    <x v="7"/>
    <x v="10"/>
    <x v="16"/>
    <n v="216"/>
    <x v="781"/>
    <n v="950.40000000000009"/>
    <x v="0"/>
  </r>
  <r>
    <x v="469"/>
    <x v="8"/>
    <x v="0"/>
    <x v="15"/>
    <x v="6"/>
    <n v="405"/>
    <x v="782"/>
    <n v="2592"/>
    <x v="11"/>
  </r>
  <r>
    <x v="469"/>
    <x v="16"/>
    <x v="6"/>
    <x v="7"/>
    <x v="22"/>
    <n v="308"/>
    <x v="783"/>
    <n v="1601.6000000000001"/>
    <x v="5"/>
  </r>
  <r>
    <x v="470"/>
    <x v="19"/>
    <x v="2"/>
    <x v="17"/>
    <x v="15"/>
    <n v="270"/>
    <x v="334"/>
    <n v="1944"/>
    <x v="12"/>
  </r>
  <r>
    <x v="470"/>
    <x v="17"/>
    <x v="1"/>
    <x v="15"/>
    <x v="29"/>
    <n v="388"/>
    <x v="245"/>
    <n v="1552"/>
    <x v="11"/>
  </r>
  <r>
    <x v="471"/>
    <x v="19"/>
    <x v="6"/>
    <x v="15"/>
    <x v="15"/>
    <n v="276"/>
    <x v="784"/>
    <n v="1987.2"/>
    <x v="6"/>
  </r>
  <r>
    <x v="472"/>
    <x v="16"/>
    <x v="4"/>
    <x v="14"/>
    <x v="7"/>
    <n v="261"/>
    <x v="785"/>
    <n v="1931.4"/>
    <x v="13"/>
  </r>
  <r>
    <x v="473"/>
    <x v="12"/>
    <x v="9"/>
    <x v="8"/>
    <x v="5"/>
    <n v="222"/>
    <x v="786"/>
    <n v="1554"/>
    <x v="0"/>
  </r>
  <r>
    <x v="473"/>
    <x v="19"/>
    <x v="0"/>
    <x v="12"/>
    <x v="32"/>
    <n v="459"/>
    <x v="317"/>
    <n v="1468.8000000000002"/>
    <x v="1"/>
  </r>
  <r>
    <x v="473"/>
    <x v="17"/>
    <x v="0"/>
    <x v="19"/>
    <x v="3"/>
    <n v="420"/>
    <x v="787"/>
    <n v="1092"/>
    <x v="5"/>
  </r>
  <r>
    <x v="473"/>
    <x v="3"/>
    <x v="4"/>
    <x v="6"/>
    <x v="26"/>
    <n v="291"/>
    <x v="788"/>
    <n v="873"/>
    <x v="7"/>
  </r>
  <r>
    <x v="474"/>
    <x v="9"/>
    <x v="9"/>
    <x v="2"/>
    <x v="17"/>
    <n v="491"/>
    <x v="789"/>
    <n v="2946"/>
    <x v="10"/>
  </r>
  <r>
    <x v="474"/>
    <x v="14"/>
    <x v="5"/>
    <x v="3"/>
    <x v="37"/>
    <n v="344"/>
    <x v="790"/>
    <n v="3027.2000000000003"/>
    <x v="6"/>
  </r>
  <r>
    <x v="475"/>
    <x v="9"/>
    <x v="5"/>
    <x v="5"/>
    <x v="7"/>
    <n v="444"/>
    <x v="791"/>
    <n v="3285.6000000000004"/>
    <x v="3"/>
  </r>
  <r>
    <x v="475"/>
    <x v="7"/>
    <x v="4"/>
    <x v="18"/>
    <x v="25"/>
    <n v="415"/>
    <x v="792"/>
    <n v="1494"/>
    <x v="0"/>
  </r>
  <r>
    <x v="475"/>
    <x v="11"/>
    <x v="6"/>
    <x v="15"/>
    <x v="23"/>
    <n v="295"/>
    <x v="448"/>
    <n v="2655"/>
    <x v="5"/>
  </r>
  <r>
    <x v="476"/>
    <x v="5"/>
    <x v="0"/>
    <x v="15"/>
    <x v="9"/>
    <n v="391"/>
    <x v="793"/>
    <n v="1642.2"/>
    <x v="10"/>
  </r>
  <r>
    <x v="476"/>
    <x v="6"/>
    <x v="4"/>
    <x v="4"/>
    <x v="4"/>
    <n v="356"/>
    <x v="794"/>
    <n v="1993.6000000000001"/>
    <x v="0"/>
  </r>
  <r>
    <x v="476"/>
    <x v="16"/>
    <x v="6"/>
    <x v="7"/>
    <x v="20"/>
    <n v="434"/>
    <x v="795"/>
    <n v="3992.8"/>
    <x v="5"/>
  </r>
  <r>
    <x v="477"/>
    <x v="18"/>
    <x v="7"/>
    <x v="14"/>
    <x v="15"/>
    <n v="464"/>
    <x v="796"/>
    <n v="3340.8"/>
    <x v="7"/>
  </r>
  <r>
    <x v="477"/>
    <x v="14"/>
    <x v="8"/>
    <x v="18"/>
    <x v="4"/>
    <n v="426"/>
    <x v="674"/>
    <n v="2385.6"/>
    <x v="10"/>
  </r>
  <r>
    <x v="478"/>
    <x v="1"/>
    <x v="3"/>
    <x v="6"/>
    <x v="18"/>
    <n v="321"/>
    <x v="797"/>
    <n v="2760.6000000000004"/>
    <x v="13"/>
  </r>
  <r>
    <x v="479"/>
    <x v="19"/>
    <x v="4"/>
    <x v="7"/>
    <x v="28"/>
    <n v="424"/>
    <x v="798"/>
    <n v="2120"/>
    <x v="1"/>
  </r>
  <r>
    <x v="480"/>
    <x v="13"/>
    <x v="7"/>
    <x v="9"/>
    <x v="14"/>
    <n v="374"/>
    <x v="799"/>
    <n v="2543.2000000000003"/>
    <x v="0"/>
  </r>
  <r>
    <x v="480"/>
    <x v="2"/>
    <x v="6"/>
    <x v="16"/>
    <x v="30"/>
    <n v="487"/>
    <x v="800"/>
    <n v="1168.8"/>
    <x v="0"/>
  </r>
  <r>
    <x v="481"/>
    <x v="17"/>
    <x v="0"/>
    <x v="8"/>
    <x v="38"/>
    <n v="456"/>
    <x v="801"/>
    <n v="3556.8"/>
    <x v="9"/>
  </r>
  <r>
    <x v="482"/>
    <x v="7"/>
    <x v="3"/>
    <x v="7"/>
    <x v="30"/>
    <n v="235"/>
    <x v="802"/>
    <n v="564"/>
    <x v="9"/>
  </r>
  <r>
    <x v="483"/>
    <x v="13"/>
    <x v="0"/>
    <x v="10"/>
    <x v="40"/>
    <n v="288"/>
    <x v="179"/>
    <n v="1382.4"/>
    <x v="5"/>
  </r>
  <r>
    <x v="483"/>
    <x v="10"/>
    <x v="5"/>
    <x v="15"/>
    <x v="8"/>
    <n v="235"/>
    <x v="803"/>
    <n v="470"/>
    <x v="3"/>
  </r>
  <r>
    <x v="484"/>
    <x v="10"/>
    <x v="8"/>
    <x v="19"/>
    <x v="9"/>
    <n v="325"/>
    <x v="804"/>
    <n v="1365"/>
    <x v="3"/>
  </r>
  <r>
    <x v="485"/>
    <x v="7"/>
    <x v="2"/>
    <x v="15"/>
    <x v="30"/>
    <n v="428"/>
    <x v="69"/>
    <n v="1027.2"/>
    <x v="3"/>
  </r>
  <r>
    <x v="486"/>
    <x v="7"/>
    <x v="0"/>
    <x v="6"/>
    <x v="4"/>
    <n v="473"/>
    <x v="325"/>
    <n v="2648.8"/>
    <x v="9"/>
  </r>
  <r>
    <x v="486"/>
    <x v="17"/>
    <x v="4"/>
    <x v="5"/>
    <x v="18"/>
    <n v="409"/>
    <x v="805"/>
    <n v="3517.4"/>
    <x v="10"/>
  </r>
  <r>
    <x v="486"/>
    <x v="2"/>
    <x v="1"/>
    <x v="7"/>
    <x v="1"/>
    <n v="254"/>
    <x v="806"/>
    <n v="2540"/>
    <x v="0"/>
  </r>
  <r>
    <x v="487"/>
    <x v="14"/>
    <x v="9"/>
    <x v="4"/>
    <x v="12"/>
    <n v="340"/>
    <x v="770"/>
    <n v="2244"/>
    <x v="12"/>
  </r>
  <r>
    <x v="487"/>
    <x v="15"/>
    <x v="6"/>
    <x v="19"/>
    <x v="37"/>
    <n v="357"/>
    <x v="807"/>
    <n v="3141.6000000000004"/>
    <x v="7"/>
  </r>
  <r>
    <x v="487"/>
    <x v="7"/>
    <x v="3"/>
    <x v="10"/>
    <x v="39"/>
    <n v="247"/>
    <x v="808"/>
    <n v="2371.2000000000003"/>
    <x v="7"/>
  </r>
  <r>
    <x v="488"/>
    <x v="15"/>
    <x v="0"/>
    <x v="4"/>
    <x v="38"/>
    <n v="304"/>
    <x v="808"/>
    <n v="2371.2000000000003"/>
    <x v="4"/>
  </r>
  <r>
    <x v="488"/>
    <x v="7"/>
    <x v="4"/>
    <x v="12"/>
    <x v="17"/>
    <n v="483"/>
    <x v="809"/>
    <n v="2898"/>
    <x v="4"/>
  </r>
  <r>
    <x v="488"/>
    <x v="3"/>
    <x v="4"/>
    <x v="0"/>
    <x v="35"/>
    <n v="342"/>
    <x v="211"/>
    <n v="1573.2"/>
    <x v="5"/>
  </r>
  <r>
    <x v="488"/>
    <x v="18"/>
    <x v="3"/>
    <x v="17"/>
    <x v="16"/>
    <n v="400"/>
    <x v="465"/>
    <n v="1760"/>
    <x v="1"/>
  </r>
  <r>
    <x v="489"/>
    <x v="12"/>
    <x v="4"/>
    <x v="2"/>
    <x v="18"/>
    <n v="419"/>
    <x v="544"/>
    <n v="3603.4"/>
    <x v="5"/>
  </r>
  <r>
    <x v="489"/>
    <x v="0"/>
    <x v="4"/>
    <x v="6"/>
    <x v="14"/>
    <n v="329"/>
    <x v="810"/>
    <n v="2237.2000000000003"/>
    <x v="5"/>
  </r>
  <r>
    <x v="489"/>
    <x v="13"/>
    <x v="3"/>
    <x v="19"/>
    <x v="3"/>
    <n v="409"/>
    <x v="222"/>
    <n v="1063.4000000000001"/>
    <x v="1"/>
  </r>
  <r>
    <x v="490"/>
    <x v="19"/>
    <x v="7"/>
    <x v="6"/>
    <x v="32"/>
    <n v="428"/>
    <x v="707"/>
    <n v="1369.6000000000001"/>
    <x v="0"/>
  </r>
  <r>
    <x v="490"/>
    <x v="1"/>
    <x v="0"/>
    <x v="14"/>
    <x v="22"/>
    <n v="288"/>
    <x v="811"/>
    <n v="1497.6000000000001"/>
    <x v="11"/>
  </r>
  <r>
    <x v="490"/>
    <x v="19"/>
    <x v="5"/>
    <x v="5"/>
    <x v="25"/>
    <n v="410"/>
    <x v="812"/>
    <n v="1476"/>
    <x v="6"/>
  </r>
  <r>
    <x v="490"/>
    <x v="2"/>
    <x v="4"/>
    <x v="12"/>
    <x v="40"/>
    <n v="489"/>
    <x v="644"/>
    <n v="2347.2000000000003"/>
    <x v="8"/>
  </r>
  <r>
    <x v="491"/>
    <x v="6"/>
    <x v="8"/>
    <x v="14"/>
    <x v="16"/>
    <n v="434"/>
    <x v="813"/>
    <n v="1909.6000000000001"/>
    <x v="3"/>
  </r>
  <r>
    <x v="492"/>
    <x v="7"/>
    <x v="1"/>
    <x v="9"/>
    <x v="20"/>
    <n v="449"/>
    <x v="814"/>
    <n v="4130.8"/>
    <x v="1"/>
  </r>
  <r>
    <x v="493"/>
    <x v="2"/>
    <x v="2"/>
    <x v="7"/>
    <x v="0"/>
    <n v="287"/>
    <x v="815"/>
    <n v="1090.6000000000001"/>
    <x v="13"/>
  </r>
  <r>
    <x v="493"/>
    <x v="3"/>
    <x v="5"/>
    <x v="2"/>
    <x v="11"/>
    <n v="301"/>
    <x v="816"/>
    <n v="2287.6"/>
    <x v="0"/>
  </r>
  <r>
    <x v="493"/>
    <x v="14"/>
    <x v="6"/>
    <x v="3"/>
    <x v="36"/>
    <n v="462"/>
    <x v="817"/>
    <n v="3696"/>
    <x v="2"/>
  </r>
  <r>
    <x v="493"/>
    <x v="10"/>
    <x v="1"/>
    <x v="13"/>
    <x v="30"/>
    <n v="322"/>
    <x v="818"/>
    <n v="772.80000000000007"/>
    <x v="8"/>
  </r>
  <r>
    <x v="494"/>
    <x v="15"/>
    <x v="0"/>
    <x v="10"/>
    <x v="35"/>
    <n v="342"/>
    <x v="211"/>
    <n v="1573.2"/>
    <x v="12"/>
  </r>
  <r>
    <x v="494"/>
    <x v="0"/>
    <x v="0"/>
    <x v="19"/>
    <x v="32"/>
    <n v="342"/>
    <x v="819"/>
    <n v="1094.4000000000001"/>
    <x v="9"/>
  </r>
  <r>
    <x v="494"/>
    <x v="18"/>
    <x v="0"/>
    <x v="9"/>
    <x v="0"/>
    <n v="205"/>
    <x v="820"/>
    <n v="779"/>
    <x v="3"/>
  </r>
  <r>
    <x v="494"/>
    <x v="4"/>
    <x v="4"/>
    <x v="12"/>
    <x v="29"/>
    <n v="303"/>
    <x v="821"/>
    <n v="1212"/>
    <x v="2"/>
  </r>
  <r>
    <x v="494"/>
    <x v="19"/>
    <x v="6"/>
    <x v="16"/>
    <x v="35"/>
    <n v="337"/>
    <x v="95"/>
    <n v="1550.2"/>
    <x v="9"/>
  </r>
  <r>
    <x v="495"/>
    <x v="0"/>
    <x v="2"/>
    <x v="16"/>
    <x v="22"/>
    <n v="353"/>
    <x v="822"/>
    <n v="1835.6000000000001"/>
    <x v="7"/>
  </r>
  <r>
    <x v="495"/>
    <x v="10"/>
    <x v="7"/>
    <x v="9"/>
    <x v="35"/>
    <n v="413"/>
    <x v="823"/>
    <n v="1899.8000000000002"/>
    <x v="0"/>
  </r>
  <r>
    <x v="495"/>
    <x v="7"/>
    <x v="4"/>
    <x v="19"/>
    <x v="2"/>
    <n v="443"/>
    <x v="824"/>
    <n v="2569.4"/>
    <x v="4"/>
  </r>
  <r>
    <x v="495"/>
    <x v="6"/>
    <x v="6"/>
    <x v="17"/>
    <x v="20"/>
    <n v="335"/>
    <x v="825"/>
    <n v="3082"/>
    <x v="5"/>
  </r>
  <r>
    <x v="496"/>
    <x v="13"/>
    <x v="3"/>
    <x v="11"/>
    <x v="16"/>
    <n v="309"/>
    <x v="826"/>
    <n v="1359.6000000000001"/>
    <x v="0"/>
  </r>
  <r>
    <x v="496"/>
    <x v="12"/>
    <x v="3"/>
    <x v="11"/>
    <x v="39"/>
    <n v="259"/>
    <x v="827"/>
    <n v="2486.4"/>
    <x v="8"/>
  </r>
  <r>
    <x v="497"/>
    <x v="17"/>
    <x v="9"/>
    <x v="19"/>
    <x v="4"/>
    <n v="489"/>
    <x v="828"/>
    <n v="2738.4"/>
    <x v="11"/>
  </r>
  <r>
    <x v="497"/>
    <x v="11"/>
    <x v="9"/>
    <x v="6"/>
    <x v="40"/>
    <n v="271"/>
    <x v="829"/>
    <n v="1300.8000000000002"/>
    <x v="4"/>
  </r>
  <r>
    <x v="498"/>
    <x v="17"/>
    <x v="9"/>
    <x v="18"/>
    <x v="35"/>
    <n v="223"/>
    <x v="830"/>
    <n v="1025.8"/>
    <x v="13"/>
  </r>
  <r>
    <x v="498"/>
    <x v="10"/>
    <x v="2"/>
    <x v="4"/>
    <x v="0"/>
    <n v="330"/>
    <x v="831"/>
    <n v="1254"/>
    <x v="13"/>
  </r>
  <r>
    <x v="498"/>
    <x v="9"/>
    <x v="0"/>
    <x v="5"/>
    <x v="0"/>
    <n v="466"/>
    <x v="832"/>
    <n v="1770.8000000000002"/>
    <x v="0"/>
  </r>
  <r>
    <x v="499"/>
    <x v="10"/>
    <x v="1"/>
    <x v="9"/>
    <x v="17"/>
    <n v="225"/>
    <x v="833"/>
    <n v="1350"/>
    <x v="2"/>
  </r>
  <r>
    <x v="499"/>
    <x v="2"/>
    <x v="8"/>
    <x v="2"/>
    <x v="30"/>
    <n v="244"/>
    <x v="834"/>
    <n v="585.6"/>
    <x v="9"/>
  </r>
  <r>
    <x v="500"/>
    <x v="16"/>
    <x v="9"/>
    <x v="9"/>
    <x v="40"/>
    <n v="293"/>
    <x v="835"/>
    <n v="1406.4"/>
    <x v="6"/>
  </r>
  <r>
    <x v="500"/>
    <x v="13"/>
    <x v="1"/>
    <x v="16"/>
    <x v="30"/>
    <n v="497"/>
    <x v="836"/>
    <n v="1192.8"/>
    <x v="9"/>
  </r>
  <r>
    <x v="501"/>
    <x v="15"/>
    <x v="5"/>
    <x v="6"/>
    <x v="35"/>
    <n v="298"/>
    <x v="837"/>
    <n v="1370.8000000000002"/>
    <x v="8"/>
  </r>
  <r>
    <x v="502"/>
    <x v="8"/>
    <x v="3"/>
    <x v="1"/>
    <x v="36"/>
    <n v="250"/>
    <x v="568"/>
    <n v="2000"/>
    <x v="3"/>
  </r>
  <r>
    <x v="503"/>
    <x v="15"/>
    <x v="5"/>
    <x v="13"/>
    <x v="29"/>
    <n v="213"/>
    <x v="246"/>
    <n v="852"/>
    <x v="5"/>
  </r>
  <r>
    <x v="503"/>
    <x v="11"/>
    <x v="8"/>
    <x v="15"/>
    <x v="4"/>
    <n v="409"/>
    <x v="838"/>
    <n v="2290.4"/>
    <x v="8"/>
  </r>
  <r>
    <x v="504"/>
    <x v="12"/>
    <x v="0"/>
    <x v="14"/>
    <x v="13"/>
    <n v="420"/>
    <x v="508"/>
    <n v="3444"/>
    <x v="6"/>
  </r>
  <r>
    <x v="504"/>
    <x v="12"/>
    <x v="5"/>
    <x v="18"/>
    <x v="16"/>
    <n v="441"/>
    <x v="839"/>
    <n v="1940.4"/>
    <x v="2"/>
  </r>
  <r>
    <x v="505"/>
    <x v="17"/>
    <x v="3"/>
    <x v="15"/>
    <x v="0"/>
    <n v="297"/>
    <x v="494"/>
    <n v="1128.6000000000001"/>
    <x v="2"/>
  </r>
  <r>
    <x v="506"/>
    <x v="11"/>
    <x v="5"/>
    <x v="14"/>
    <x v="19"/>
    <n v="431"/>
    <x v="840"/>
    <n v="948.2"/>
    <x v="13"/>
  </r>
  <r>
    <x v="506"/>
    <x v="1"/>
    <x v="3"/>
    <x v="8"/>
    <x v="7"/>
    <n v="407"/>
    <x v="439"/>
    <n v="3011.8"/>
    <x v="6"/>
  </r>
  <r>
    <x v="507"/>
    <x v="6"/>
    <x v="1"/>
    <x v="11"/>
    <x v="30"/>
    <n v="339"/>
    <x v="841"/>
    <n v="813.6"/>
    <x v="7"/>
  </r>
  <r>
    <x v="508"/>
    <x v="3"/>
    <x v="9"/>
    <x v="5"/>
    <x v="4"/>
    <n v="318"/>
    <x v="842"/>
    <n v="1780.8000000000002"/>
    <x v="5"/>
  </r>
  <r>
    <x v="508"/>
    <x v="16"/>
    <x v="1"/>
    <x v="1"/>
    <x v="22"/>
    <n v="430"/>
    <x v="102"/>
    <n v="2236"/>
    <x v="9"/>
  </r>
  <r>
    <x v="508"/>
    <x v="9"/>
    <x v="3"/>
    <x v="8"/>
    <x v="14"/>
    <n v="273"/>
    <x v="843"/>
    <n v="1856.4"/>
    <x v="5"/>
  </r>
  <r>
    <x v="509"/>
    <x v="2"/>
    <x v="5"/>
    <x v="4"/>
    <x v="3"/>
    <n v="269"/>
    <x v="844"/>
    <n v="699.40000000000009"/>
    <x v="2"/>
  </r>
  <r>
    <x v="509"/>
    <x v="8"/>
    <x v="1"/>
    <x v="13"/>
    <x v="24"/>
    <n v="467"/>
    <x v="845"/>
    <n v="2895.4"/>
    <x v="12"/>
  </r>
  <r>
    <x v="510"/>
    <x v="9"/>
    <x v="2"/>
    <x v="7"/>
    <x v="34"/>
    <n v="453"/>
    <x v="846"/>
    <n v="1268.4000000000001"/>
    <x v="8"/>
  </r>
  <r>
    <x v="510"/>
    <x v="14"/>
    <x v="1"/>
    <x v="2"/>
    <x v="6"/>
    <n v="284"/>
    <x v="847"/>
    <n v="1817.6000000000001"/>
    <x v="3"/>
  </r>
  <r>
    <x v="510"/>
    <x v="12"/>
    <x v="3"/>
    <x v="9"/>
    <x v="23"/>
    <n v="306"/>
    <x v="848"/>
    <n v="2754"/>
    <x v="11"/>
  </r>
  <r>
    <x v="511"/>
    <x v="13"/>
    <x v="5"/>
    <x v="18"/>
    <x v="12"/>
    <n v="446"/>
    <x v="657"/>
    <n v="2943.6000000000004"/>
    <x v="2"/>
  </r>
  <r>
    <x v="511"/>
    <x v="4"/>
    <x v="5"/>
    <x v="3"/>
    <x v="25"/>
    <n v="223"/>
    <x v="849"/>
    <n v="802.80000000000007"/>
    <x v="9"/>
  </r>
  <r>
    <x v="511"/>
    <x v="3"/>
    <x v="1"/>
    <x v="5"/>
    <x v="17"/>
    <n v="212"/>
    <x v="850"/>
    <n v="1272"/>
    <x v="8"/>
  </r>
  <r>
    <x v="512"/>
    <x v="2"/>
    <x v="3"/>
    <x v="10"/>
    <x v="1"/>
    <n v="376"/>
    <x v="851"/>
    <n v="3760"/>
    <x v="2"/>
  </r>
  <r>
    <x v="512"/>
    <x v="12"/>
    <x v="3"/>
    <x v="9"/>
    <x v="29"/>
    <n v="273"/>
    <x v="787"/>
    <n v="1092"/>
    <x v="1"/>
  </r>
  <r>
    <x v="513"/>
    <x v="15"/>
    <x v="4"/>
    <x v="1"/>
    <x v="12"/>
    <n v="237"/>
    <x v="852"/>
    <n v="1564.2"/>
    <x v="11"/>
  </r>
  <r>
    <x v="514"/>
    <x v="15"/>
    <x v="9"/>
    <x v="14"/>
    <x v="36"/>
    <n v="224"/>
    <x v="853"/>
    <n v="1792"/>
    <x v="1"/>
  </r>
  <r>
    <x v="514"/>
    <x v="17"/>
    <x v="5"/>
    <x v="8"/>
    <x v="19"/>
    <n v="456"/>
    <x v="603"/>
    <n v="1003.2"/>
    <x v="2"/>
  </r>
  <r>
    <x v="514"/>
    <x v="18"/>
    <x v="8"/>
    <x v="6"/>
    <x v="36"/>
    <n v="473"/>
    <x v="854"/>
    <n v="3784"/>
    <x v="6"/>
  </r>
  <r>
    <x v="514"/>
    <x v="15"/>
    <x v="8"/>
    <x v="19"/>
    <x v="37"/>
    <n v="214"/>
    <x v="490"/>
    <n v="1883.2"/>
    <x v="11"/>
  </r>
  <r>
    <x v="515"/>
    <x v="14"/>
    <x v="3"/>
    <x v="5"/>
    <x v="27"/>
    <n v="493"/>
    <x v="855"/>
    <n v="4634.2"/>
    <x v="5"/>
  </r>
  <r>
    <x v="516"/>
    <x v="1"/>
    <x v="1"/>
    <x v="16"/>
    <x v="10"/>
    <n v="408"/>
    <x v="856"/>
    <n v="3427.2000000000003"/>
    <x v="8"/>
  </r>
  <r>
    <x v="517"/>
    <x v="0"/>
    <x v="9"/>
    <x v="17"/>
    <x v="17"/>
    <n v="420"/>
    <x v="857"/>
    <n v="2520"/>
    <x v="10"/>
  </r>
  <r>
    <x v="517"/>
    <x v="9"/>
    <x v="5"/>
    <x v="18"/>
    <x v="29"/>
    <n v="418"/>
    <x v="858"/>
    <n v="1672"/>
    <x v="12"/>
  </r>
  <r>
    <x v="518"/>
    <x v="14"/>
    <x v="8"/>
    <x v="0"/>
    <x v="32"/>
    <n v="402"/>
    <x v="859"/>
    <n v="1286.4000000000001"/>
    <x v="5"/>
  </r>
  <r>
    <x v="519"/>
    <x v="17"/>
    <x v="1"/>
    <x v="11"/>
    <x v="10"/>
    <n v="219"/>
    <x v="860"/>
    <n v="1839.6000000000001"/>
    <x v="5"/>
  </r>
  <r>
    <x v="520"/>
    <x v="4"/>
    <x v="0"/>
    <x v="16"/>
    <x v="18"/>
    <n v="378"/>
    <x v="861"/>
    <n v="3250.8"/>
    <x v="0"/>
  </r>
  <r>
    <x v="520"/>
    <x v="10"/>
    <x v="0"/>
    <x v="0"/>
    <x v="37"/>
    <n v="271"/>
    <x v="862"/>
    <n v="2384.8000000000002"/>
    <x v="0"/>
  </r>
  <r>
    <x v="521"/>
    <x v="8"/>
    <x v="9"/>
    <x v="5"/>
    <x v="11"/>
    <n v="469"/>
    <x v="863"/>
    <n v="3564.4"/>
    <x v="5"/>
  </r>
  <r>
    <x v="521"/>
    <x v="7"/>
    <x v="3"/>
    <x v="10"/>
    <x v="22"/>
    <n v="213"/>
    <x v="864"/>
    <n v="1107.6000000000001"/>
    <x v="7"/>
  </r>
  <r>
    <x v="522"/>
    <x v="18"/>
    <x v="7"/>
    <x v="2"/>
    <x v="2"/>
    <n v="289"/>
    <x v="865"/>
    <n v="1676.2"/>
    <x v="1"/>
  </r>
  <r>
    <x v="522"/>
    <x v="6"/>
    <x v="3"/>
    <x v="16"/>
    <x v="32"/>
    <n v="422"/>
    <x v="866"/>
    <n v="1350.4"/>
    <x v="5"/>
  </r>
  <r>
    <x v="522"/>
    <x v="0"/>
    <x v="3"/>
    <x v="2"/>
    <x v="15"/>
    <n v="278"/>
    <x v="867"/>
    <n v="2001.6000000000001"/>
    <x v="5"/>
  </r>
  <r>
    <x v="523"/>
    <x v="4"/>
    <x v="0"/>
    <x v="15"/>
    <x v="16"/>
    <n v="238"/>
    <x v="207"/>
    <n v="1047.2"/>
    <x v="2"/>
  </r>
  <r>
    <x v="524"/>
    <x v="14"/>
    <x v="7"/>
    <x v="13"/>
    <x v="24"/>
    <n v="413"/>
    <x v="868"/>
    <n v="2560.6000000000004"/>
    <x v="8"/>
  </r>
  <r>
    <x v="525"/>
    <x v="6"/>
    <x v="1"/>
    <x v="16"/>
    <x v="39"/>
    <n v="433"/>
    <x v="869"/>
    <n v="4156.8"/>
    <x v="4"/>
  </r>
  <r>
    <x v="525"/>
    <x v="18"/>
    <x v="1"/>
    <x v="4"/>
    <x v="7"/>
    <n v="226"/>
    <x v="870"/>
    <n v="1672.4"/>
    <x v="10"/>
  </r>
  <r>
    <x v="526"/>
    <x v="5"/>
    <x v="7"/>
    <x v="6"/>
    <x v="12"/>
    <n v="318"/>
    <x v="871"/>
    <n v="2098.8000000000002"/>
    <x v="3"/>
  </r>
  <r>
    <x v="526"/>
    <x v="1"/>
    <x v="0"/>
    <x v="19"/>
    <x v="18"/>
    <n v="339"/>
    <x v="872"/>
    <n v="2915.4"/>
    <x v="12"/>
  </r>
  <r>
    <x v="527"/>
    <x v="6"/>
    <x v="7"/>
    <x v="2"/>
    <x v="23"/>
    <n v="341"/>
    <x v="726"/>
    <n v="3069"/>
    <x v="10"/>
  </r>
  <r>
    <x v="527"/>
    <x v="0"/>
    <x v="7"/>
    <x v="7"/>
    <x v="27"/>
    <n v="319"/>
    <x v="873"/>
    <n v="2998.6000000000004"/>
    <x v="2"/>
  </r>
  <r>
    <x v="528"/>
    <x v="12"/>
    <x v="9"/>
    <x v="12"/>
    <x v="15"/>
    <n v="414"/>
    <x v="874"/>
    <n v="2980.8"/>
    <x v="2"/>
  </r>
  <r>
    <x v="528"/>
    <x v="2"/>
    <x v="0"/>
    <x v="2"/>
    <x v="40"/>
    <n v="357"/>
    <x v="875"/>
    <n v="1713.6000000000001"/>
    <x v="4"/>
  </r>
  <r>
    <x v="528"/>
    <x v="18"/>
    <x v="0"/>
    <x v="3"/>
    <x v="0"/>
    <n v="203"/>
    <x v="876"/>
    <n v="771.40000000000009"/>
    <x v="11"/>
  </r>
  <r>
    <x v="528"/>
    <x v="5"/>
    <x v="4"/>
    <x v="9"/>
    <x v="30"/>
    <n v="448"/>
    <x v="877"/>
    <n v="1075.2"/>
    <x v="7"/>
  </r>
  <r>
    <x v="529"/>
    <x v="11"/>
    <x v="9"/>
    <x v="2"/>
    <x v="29"/>
    <n v="482"/>
    <x v="878"/>
    <n v="1928"/>
    <x v="6"/>
  </r>
  <r>
    <x v="529"/>
    <x v="4"/>
    <x v="7"/>
    <x v="6"/>
    <x v="12"/>
    <n v="406"/>
    <x v="879"/>
    <n v="2679.6000000000004"/>
    <x v="10"/>
  </r>
  <r>
    <x v="529"/>
    <x v="14"/>
    <x v="0"/>
    <x v="1"/>
    <x v="38"/>
    <n v="370"/>
    <x v="880"/>
    <n v="2886"/>
    <x v="13"/>
  </r>
  <r>
    <x v="530"/>
    <x v="14"/>
    <x v="9"/>
    <x v="7"/>
    <x v="15"/>
    <n v="349"/>
    <x v="881"/>
    <n v="2512.8000000000002"/>
    <x v="3"/>
  </r>
  <r>
    <x v="531"/>
    <x v="8"/>
    <x v="2"/>
    <x v="0"/>
    <x v="11"/>
    <n v="430"/>
    <x v="618"/>
    <n v="3268"/>
    <x v="13"/>
  </r>
  <r>
    <x v="531"/>
    <x v="0"/>
    <x v="2"/>
    <x v="10"/>
    <x v="2"/>
    <n v="317"/>
    <x v="882"/>
    <n v="1838.6000000000001"/>
    <x v="7"/>
  </r>
  <r>
    <x v="531"/>
    <x v="5"/>
    <x v="1"/>
    <x v="0"/>
    <x v="14"/>
    <n v="381"/>
    <x v="563"/>
    <n v="2590.8000000000002"/>
    <x v="8"/>
  </r>
  <r>
    <x v="532"/>
    <x v="4"/>
    <x v="7"/>
    <x v="15"/>
    <x v="22"/>
    <n v="411"/>
    <x v="883"/>
    <n v="2137.2000000000003"/>
    <x v="9"/>
  </r>
  <r>
    <x v="533"/>
    <x v="5"/>
    <x v="4"/>
    <x v="0"/>
    <x v="21"/>
    <n v="415"/>
    <x v="884"/>
    <n v="4067"/>
    <x v="12"/>
  </r>
  <r>
    <x v="533"/>
    <x v="17"/>
    <x v="6"/>
    <x v="15"/>
    <x v="20"/>
    <n v="399"/>
    <x v="885"/>
    <n v="3670.8"/>
    <x v="2"/>
  </r>
  <r>
    <x v="534"/>
    <x v="0"/>
    <x v="0"/>
    <x v="6"/>
    <x v="29"/>
    <n v="237"/>
    <x v="886"/>
    <n v="948"/>
    <x v="9"/>
  </r>
  <r>
    <x v="534"/>
    <x v="15"/>
    <x v="6"/>
    <x v="18"/>
    <x v="20"/>
    <n v="318"/>
    <x v="887"/>
    <n v="2925.6000000000004"/>
    <x v="10"/>
  </r>
  <r>
    <x v="534"/>
    <x v="9"/>
    <x v="8"/>
    <x v="17"/>
    <x v="17"/>
    <n v="375"/>
    <x v="888"/>
    <n v="2250"/>
    <x v="9"/>
  </r>
  <r>
    <x v="535"/>
    <x v="9"/>
    <x v="0"/>
    <x v="6"/>
    <x v="35"/>
    <n v="297"/>
    <x v="889"/>
    <n v="1366.2"/>
    <x v="11"/>
  </r>
  <r>
    <x v="536"/>
    <x v="5"/>
    <x v="6"/>
    <x v="0"/>
    <x v="16"/>
    <n v="268"/>
    <x v="890"/>
    <n v="1179.2"/>
    <x v="5"/>
  </r>
  <r>
    <x v="536"/>
    <x v="16"/>
    <x v="3"/>
    <x v="0"/>
    <x v="10"/>
    <n v="208"/>
    <x v="891"/>
    <n v="1747.2"/>
    <x v="4"/>
  </r>
  <r>
    <x v="537"/>
    <x v="18"/>
    <x v="5"/>
    <x v="14"/>
    <x v="12"/>
    <n v="215"/>
    <x v="892"/>
    <n v="1419"/>
    <x v="4"/>
  </r>
  <r>
    <x v="538"/>
    <x v="3"/>
    <x v="0"/>
    <x v="14"/>
    <x v="24"/>
    <n v="420"/>
    <x v="893"/>
    <n v="2604"/>
    <x v="8"/>
  </r>
  <r>
    <x v="538"/>
    <x v="17"/>
    <x v="8"/>
    <x v="12"/>
    <x v="24"/>
    <n v="415"/>
    <x v="894"/>
    <n v="2573"/>
    <x v="5"/>
  </r>
  <r>
    <x v="539"/>
    <x v="19"/>
    <x v="9"/>
    <x v="15"/>
    <x v="23"/>
    <n v="308"/>
    <x v="895"/>
    <n v="2772"/>
    <x v="7"/>
  </r>
  <r>
    <x v="539"/>
    <x v="3"/>
    <x v="8"/>
    <x v="4"/>
    <x v="33"/>
    <n v="351"/>
    <x v="896"/>
    <n v="1895.4"/>
    <x v="8"/>
  </r>
  <r>
    <x v="540"/>
    <x v="17"/>
    <x v="3"/>
    <x v="1"/>
    <x v="29"/>
    <n v="270"/>
    <x v="760"/>
    <n v="1080"/>
    <x v="1"/>
  </r>
  <r>
    <x v="541"/>
    <x v="11"/>
    <x v="2"/>
    <x v="7"/>
    <x v="9"/>
    <n v="408"/>
    <x v="875"/>
    <n v="1713.6000000000001"/>
    <x v="0"/>
  </r>
  <r>
    <x v="542"/>
    <x v="8"/>
    <x v="9"/>
    <x v="5"/>
    <x v="30"/>
    <n v="409"/>
    <x v="149"/>
    <n v="981.6"/>
    <x v="6"/>
  </r>
  <r>
    <x v="542"/>
    <x v="7"/>
    <x v="0"/>
    <x v="9"/>
    <x v="24"/>
    <n v="304"/>
    <x v="897"/>
    <n v="1884.8000000000002"/>
    <x v="13"/>
  </r>
  <r>
    <x v="542"/>
    <x v="12"/>
    <x v="1"/>
    <x v="1"/>
    <x v="10"/>
    <n v="345"/>
    <x v="809"/>
    <n v="2898"/>
    <x v="10"/>
  </r>
  <r>
    <x v="543"/>
    <x v="5"/>
    <x v="2"/>
    <x v="3"/>
    <x v="7"/>
    <n v="306"/>
    <x v="898"/>
    <n v="2264.4"/>
    <x v="7"/>
  </r>
  <r>
    <x v="543"/>
    <x v="11"/>
    <x v="4"/>
    <x v="14"/>
    <x v="20"/>
    <n v="496"/>
    <x v="899"/>
    <n v="4563.2"/>
    <x v="1"/>
  </r>
  <r>
    <x v="544"/>
    <x v="6"/>
    <x v="5"/>
    <x v="10"/>
    <x v="35"/>
    <n v="386"/>
    <x v="900"/>
    <n v="1775.6000000000001"/>
    <x v="13"/>
  </r>
  <r>
    <x v="544"/>
    <x v="11"/>
    <x v="8"/>
    <x v="19"/>
    <x v="17"/>
    <n v="209"/>
    <x v="831"/>
    <n v="1254"/>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9796F-0930-4DC3-A9AF-8DA6EF440C55}" name="KPI Total Sale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2:C3" firstHeaderRow="1" firstDataRow="1" firstDataCol="0"/>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 showAll="0"/>
    <pivotField showAll="0">
      <items count="15">
        <item x="1"/>
        <item x="5"/>
        <item x="10"/>
        <item x="9"/>
        <item x="13"/>
        <item x="7"/>
        <item x="3"/>
        <item x="6"/>
        <item x="0"/>
        <item x="12"/>
        <item x="11"/>
        <item x="2"/>
        <item x="4"/>
        <item x="8"/>
        <item t="default"/>
      </items>
    </pivotField>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h="1" x="0"/>
        <item x="1"/>
        <item x="2"/>
        <item h="1" x="3"/>
        <item t="default"/>
      </items>
    </pivotField>
    <pivotField dragToRow="0" dragToCol="0" dragToPage="0" showAll="0" defaultSubtotal="0"/>
  </pivotFields>
  <rowItems count="1">
    <i/>
  </rowItems>
  <colItems count="1">
    <i/>
  </colItems>
  <dataFields count="1">
    <dataField name="Total Sales" fld="6" baseField="0" baseItem="0" numFmtId="170"/>
  </dataFields>
  <formats count="2">
    <format dxfId="19">
      <pivotArea dataOnly="0" labelOnly="1" outline="0" axis="axisValues"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C8F0A-3EAF-48D0-A741-F3E1EE96FD3D}" name="KPI Total Profi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5:C6" firstHeaderRow="1" firstDataRow="1" firstDataCol="0"/>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dataField="1" showAll="0"/>
    <pivotField showAll="0">
      <items count="15">
        <item x="1"/>
        <item x="5"/>
        <item x="10"/>
        <item x="9"/>
        <item x="13"/>
        <item x="7"/>
        <item x="3"/>
        <item x="6"/>
        <item x="0"/>
        <item x="12"/>
        <item x="11"/>
        <item x="2"/>
        <item x="4"/>
        <item x="8"/>
        <item t="default"/>
      </items>
    </pivotField>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h="1" x="0"/>
        <item x="1"/>
        <item x="2"/>
        <item h="1" x="3"/>
        <item t="default"/>
      </items>
    </pivotField>
    <pivotField dragToRow="0" dragToCol="0" dragToPage="0" showAll="0" defaultSubtotal="0"/>
  </pivotFields>
  <rowItems count="1">
    <i/>
  </rowItems>
  <colItems count="1">
    <i/>
  </colItems>
  <dataFields count="1">
    <dataField name="Total Profit" fld="7" baseField="0" baseItem="0" numFmtId="172"/>
  </dataFields>
  <formats count="2">
    <format dxfId="14">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FF9DA-46F2-4092-9F36-16CB33DEB033}" name="KPI Avg Selling Pri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items count="15">
        <item x="1"/>
        <item x="5"/>
        <item x="10"/>
        <item x="9"/>
        <item x="13"/>
        <item x="7"/>
        <item x="3"/>
        <item x="6"/>
        <item x="0"/>
        <item x="12"/>
        <item x="11"/>
        <item x="2"/>
        <item x="4"/>
        <item x="8"/>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h="1" x="0"/>
        <item x="1"/>
        <item x="2"/>
        <item h="1" x="3"/>
      </items>
    </pivotField>
    <pivotField dataField="1" dragToRow="0" dragToCol="0" dragToPage="0" showAll="0" defaultSubtotal="0"/>
  </pivotFields>
  <rowItems count="1">
    <i/>
  </rowItems>
  <colItems count="1">
    <i/>
  </colItems>
  <dataFields count="1">
    <dataField name="Avg Selling Price" fld="12"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C5C03-B7B6-4F4C-8AAD-F85D85DD9241}" name="Salesperson Pivot Tabl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persons">
  <location ref="M2:N7" firstHeaderRow="1" firstDataRow="1" firstDataCol="1"/>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measureFilter="1" sortType="descending">
      <items count="21">
        <item x="9"/>
        <item x="1"/>
        <item x="15"/>
        <item x="4"/>
        <item x="18"/>
        <item x="13"/>
        <item x="7"/>
        <item x="2"/>
        <item x="5"/>
        <item x="3"/>
        <item x="17"/>
        <item x="6"/>
        <item x="16"/>
        <item x="12"/>
        <item x="0"/>
        <item x="11"/>
        <item x="19"/>
        <item x="8"/>
        <item x="14"/>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15">
        <item x="1"/>
        <item x="5"/>
        <item x="10"/>
        <item x="9"/>
        <item x="13"/>
        <item x="7"/>
        <item x="3"/>
        <item x="6"/>
        <item x="0"/>
        <item x="12"/>
        <item x="11"/>
        <item x="2"/>
        <item x="4"/>
        <item x="8"/>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h="1" x="0"/>
        <item x="1"/>
        <item x="2"/>
        <item h="1" x="3"/>
      </items>
    </pivotField>
    <pivotField dragToRow="0" dragToCol="0" dragToPage="0" showAll="0" defaultSubtotal="0"/>
  </pivotFields>
  <rowFields count="1">
    <field x="1"/>
  </rowFields>
  <rowItems count="5">
    <i>
      <x v="18"/>
    </i>
    <i>
      <x v="6"/>
    </i>
    <i>
      <x v="10"/>
    </i>
    <i>
      <x v="15"/>
    </i>
    <i>
      <x v="13"/>
    </i>
  </rowItems>
  <colItems count="1">
    <i/>
  </colItems>
  <dataFields count="1">
    <dataField name="Sum of Total Sale" fld="6" baseField="0" baseItem="0" numFmtId="165"/>
  </dataFields>
  <formats count="1">
    <format dxfId="15">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AD894-EBCE-4723-987D-EED429AC53CE}" name="State Pivot Table"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s">
  <location ref="F2:G17" firstHeaderRow="1" firstDataRow="1" firstDataCol="1"/>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 showAll="0"/>
    <pivotField axis="axisRow" showAll="0" sortType="descending">
      <items count="15">
        <item x="8"/>
        <item x="4"/>
        <item x="2"/>
        <item x="11"/>
        <item x="12"/>
        <item x="0"/>
        <item x="6"/>
        <item x="3"/>
        <item x="7"/>
        <item x="13"/>
        <item x="9"/>
        <item x="10"/>
        <item x="5"/>
        <item x="1"/>
        <item t="default"/>
      </items>
      <autoSortScope>
        <pivotArea dataOnly="0" outline="0" fieldPosition="0">
          <references count="1">
            <reference field="4294967294" count="1" selected="0">
              <x v="0"/>
            </reference>
          </references>
        </pivotArea>
      </autoSortScope>
    </pivotField>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5">
        <item h="1" x="0"/>
        <item x="1"/>
        <item x="2"/>
        <item h="1" x="3"/>
        <item t="default"/>
      </items>
    </pivotField>
    <pivotField dragToRow="0" dragToCol="0" dragToPage="0" showAll="0" defaultSubtotal="0"/>
  </pivotFields>
  <rowFields count="1">
    <field x="8"/>
  </rowFields>
  <rowItems count="15">
    <i>
      <x v="6"/>
    </i>
    <i>
      <x v="12"/>
    </i>
    <i>
      <x v="5"/>
    </i>
    <i>
      <x v="2"/>
    </i>
    <i>
      <x/>
    </i>
    <i>
      <x v="11"/>
    </i>
    <i>
      <x v="7"/>
    </i>
    <i>
      <x v="13"/>
    </i>
    <i>
      <x v="3"/>
    </i>
    <i>
      <x v="9"/>
    </i>
    <i>
      <x v="8"/>
    </i>
    <i>
      <x v="10"/>
    </i>
    <i>
      <x v="1"/>
    </i>
    <i>
      <x v="4"/>
    </i>
    <i t="grand">
      <x/>
    </i>
  </rowItems>
  <colItems count="1">
    <i/>
  </colItems>
  <dataFields count="1">
    <dataField name="Sum of Total Sale" fld="6" baseField="8" baseItem="0" numFmtId="165"/>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2763D3-3176-450D-B1FE-AECCCABB55F4}" name="Months Pivot Tabl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rowHeaderCaption="Months">
  <location ref="I2:K15" firstHeaderRow="1" firstDataRow="2" firstDataCol="1"/>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dataField="1" showAll="0"/>
    <pivotField showAll="0"/>
    <pivotField showAll="0">
      <items count="15">
        <item x="1"/>
        <item x="5"/>
        <item x="10"/>
        <item x="9"/>
        <item x="13"/>
        <item x="7"/>
        <item x="3"/>
        <item x="6"/>
        <item x="0"/>
        <item x="12"/>
        <item x="11"/>
        <item x="2"/>
        <item x="4"/>
        <item x="8"/>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Col" showAll="0">
      <items count="5">
        <item h="1" sd="0" x="0"/>
        <item sd="0" x="1"/>
        <item sd="0" x="2"/>
        <item h="1" sd="0" x="3"/>
        <item t="default"/>
      </items>
    </pivotField>
    <pivotField dragToRow="0" dragToCol="0" dragToPage="0" showAll="0" defaultSubtotal="0"/>
  </pivotFields>
  <rowFields count="1">
    <field x="9"/>
  </rowFields>
  <rowItems count="12">
    <i>
      <x v="1"/>
    </i>
    <i>
      <x v="2"/>
    </i>
    <i>
      <x v="3"/>
    </i>
    <i>
      <x v="4"/>
    </i>
    <i>
      <x v="5"/>
    </i>
    <i>
      <x v="6"/>
    </i>
    <i>
      <x v="7"/>
    </i>
    <i>
      <x v="8"/>
    </i>
    <i>
      <x v="9"/>
    </i>
    <i>
      <x v="10"/>
    </i>
    <i>
      <x v="11"/>
    </i>
    <i>
      <x v="12"/>
    </i>
  </rowItems>
  <colFields count="1">
    <field x="11"/>
  </colFields>
  <colItems count="2">
    <i>
      <x v="1"/>
    </i>
    <i>
      <x v="2"/>
    </i>
  </colItems>
  <dataFields count="1">
    <dataField name="Sum of Total Sale" fld="6" baseField="0" baseItem="0" numFmtId="165"/>
  </dataFields>
  <formats count="1">
    <format dxfId="17">
      <pivotArea outline="0" collapsedLevelsAreSubtotals="1" fieldPosition="0"/>
    </format>
  </formats>
  <chartFormats count="3">
    <chartFormat chart="28" format="4" series="1">
      <pivotArea type="data" outline="0" fieldPosition="0">
        <references count="2">
          <reference field="4294967294" count="1" selected="0">
            <x v="0"/>
          </reference>
          <reference field="11" count="1" selected="0">
            <x v="1"/>
          </reference>
        </references>
      </pivotArea>
    </chartFormat>
    <chartFormat chart="28" format="5" series="1">
      <pivotArea type="data" outline="0" fieldPosition="0">
        <references count="2">
          <reference field="4294967294" count="1" selected="0">
            <x v="0"/>
          </reference>
          <reference field="11" count="1" selected="0">
            <x v="2"/>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5BB1C7-D35E-473E-A830-0C6693216218}" name="Product Sales Pivot Table"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Product Category">
  <location ref="F21:G31" firstHeaderRow="1" firstDataRow="1" firstDataCol="1"/>
  <pivotFields count="13">
    <pivotField numFmtId="14" showAll="0">
      <items count="546">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sortType="descending">
      <items count="11">
        <item x="9"/>
        <item x="2"/>
        <item x="7"/>
        <item x="0"/>
        <item x="5"/>
        <item x="4"/>
        <item x="6"/>
        <item x="1"/>
        <item x="3"/>
        <item x="8"/>
        <item t="default"/>
      </items>
      <autoSortScope>
        <pivotArea dataOnly="0" outline="0" fieldPosition="0">
          <references count="1">
            <reference field="4294967294" count="1" selected="0">
              <x v="0"/>
            </reference>
          </references>
        </pivotArea>
      </autoSortScope>
    </pivotField>
    <pivotField showAll="0"/>
    <pivotField showAll="0">
      <items count="42">
        <item x="8"/>
        <item x="19"/>
        <item x="30"/>
        <item x="3"/>
        <item x="34"/>
        <item x="26"/>
        <item x="32"/>
        <item x="31"/>
        <item x="25"/>
        <item x="0"/>
        <item x="29"/>
        <item x="9"/>
        <item x="16"/>
        <item x="35"/>
        <item x="40"/>
        <item x="28"/>
        <item x="22"/>
        <item x="33"/>
        <item x="4"/>
        <item x="2"/>
        <item x="17"/>
        <item x="24"/>
        <item x="6"/>
        <item x="12"/>
        <item x="14"/>
        <item x="5"/>
        <item x="15"/>
        <item x="7"/>
        <item x="11"/>
        <item x="38"/>
        <item x="36"/>
        <item x="13"/>
        <item x="10"/>
        <item x="18"/>
        <item x="37"/>
        <item x="23"/>
        <item x="20"/>
        <item x="27"/>
        <item x="39"/>
        <item x="21"/>
        <item x="1"/>
        <item t="default"/>
      </items>
    </pivotField>
    <pivotField showAll="0"/>
    <pivotField dataField="1" showAll="0"/>
    <pivotField showAll="0"/>
    <pivotField showAll="0">
      <items count="15">
        <item x="1"/>
        <item x="5"/>
        <item x="10"/>
        <item x="9"/>
        <item x="13"/>
        <item x="7"/>
        <item x="3"/>
        <item x="6"/>
        <item x="0"/>
        <item x="12"/>
        <item x="11"/>
        <item x="2"/>
        <item x="4"/>
        <item x="8"/>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h="1" x="0"/>
        <item x="1"/>
        <item x="2"/>
        <item h="1" x="3"/>
      </items>
    </pivotField>
    <pivotField dragToRow="0" dragToCol="0" dragToPage="0" showAll="0" defaultSubtotal="0"/>
  </pivotFields>
  <rowFields count="1">
    <field x="2"/>
  </rowFields>
  <rowItems count="10">
    <i>
      <x v="3"/>
    </i>
    <i>
      <x v="7"/>
    </i>
    <i>
      <x/>
    </i>
    <i>
      <x v="5"/>
    </i>
    <i>
      <x v="1"/>
    </i>
    <i>
      <x v="8"/>
    </i>
    <i>
      <x v="6"/>
    </i>
    <i>
      <x v="2"/>
    </i>
    <i>
      <x v="4"/>
    </i>
    <i>
      <x v="9"/>
    </i>
  </rowItems>
  <colItems count="1">
    <i/>
  </colItems>
  <dataFields count="1">
    <dataField name="Sum of Total Sale" fld="6" baseField="0" baseItem="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E637F510-53E5-4A2A-9C05-39D3F68A4DC6}" sourceName="Years (Date)">
  <pivotTables>
    <pivotTable tabId="2" name="Months Pivot Table"/>
    <pivotTable tabId="2" name="KPI Avg Selling Price"/>
    <pivotTable tabId="2" name="KPI Total Profit"/>
    <pivotTable tabId="2" name="KPI Total Sales"/>
    <pivotTable tabId="2" name="Product Sales Pivot Table"/>
    <pivotTable tabId="2" name="Salesperson Pivot Table"/>
    <pivotTable tabId="2" name="State Pivot Table"/>
  </pivotTables>
  <data>
    <tabular pivotCacheId="1358837896">
      <items count="4">
        <i x="1" s="1"/>
        <i x="2" s="1"/>
        <i x="0" nd="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2028E70-4A88-480C-AE48-109AD2717AA2}" sourceName="Months (Date)">
  <pivotTables>
    <pivotTable tabId="2" name="Months Pivot Table"/>
    <pivotTable tabId="2" name="KPI Avg Selling Price"/>
    <pivotTable tabId="2" name="KPI Total Profit"/>
    <pivotTable tabId="2" name="KPI Total Sales"/>
    <pivotTable tabId="2" name="Product Sales Pivot Table"/>
    <pivotTable tabId="2" name="Salesperson Pivot Table"/>
    <pivotTable tabId="2" name="State Pivot Table"/>
  </pivotTables>
  <data>
    <tabular pivotCacheId="1358837896">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AC2B0E-6E18-43EE-9C09-6D4C80045D68}" sourceName="State">
  <pivotTables>
    <pivotTable tabId="2" name="State Pivot Table"/>
    <pivotTable tabId="2" name="KPI Avg Selling Price"/>
    <pivotTable tabId="2" name="KPI Total Profit"/>
    <pivotTable tabId="2" name="KPI Total Sales"/>
    <pivotTable tabId="2" name="Months Pivot Table"/>
    <pivotTable tabId="2" name="Product Sales Pivot Table"/>
    <pivotTable tabId="2" name="Salesperson Pivot Table"/>
  </pivotTables>
  <data>
    <tabular pivotCacheId="1358837896" showMissing="0">
      <items count="14">
        <i x="1" s="1"/>
        <i x="5" s="1"/>
        <i x="10" s="1"/>
        <i x="9" s="1"/>
        <i x="13" s="1"/>
        <i x="7" s="1"/>
        <i x="3" s="1"/>
        <i x="6" s="1"/>
        <i x="0" s="1"/>
        <i x="12" s="1"/>
        <i x="11" s="1"/>
        <i x="2" s="1"/>
        <i x="4"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B4C45549-FB67-4E9D-AD1E-D3B54B01F445}" cache="Slicer_Years__Date" caption="Years (Date)" showCaption="0" style="SlicerStyleLight1 3" rowHeight="247650"/>
  <slicer name="Months (Date)" xr10:uid="{19367EBE-A4F4-4780-AE00-662524B860E7}" cache="Slicer_Months__Date" caption="Months " columnCount="2" style="SlicerStyleLight1 3" rowHeight="247650"/>
  <slicer name="State" xr10:uid="{2FB72135-2AE9-4EB6-9EDC-999E2FAF6306}" cache="Slicer_State" caption="Regions" columnCount="2" style="SlicerStyleLight1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16EAE2-0EBB-4301-8E80-59B44C5C39A7}" name="Table1" displayName="Table1" ref="C1:K1001" totalsRowShown="0" headerRowDxfId="13" dataDxfId="12">
  <autoFilter ref="C1:K1001" xr:uid="{CB16EAE2-0EBB-4301-8E80-59B44C5C39A7}"/>
  <tableColumns count="9">
    <tableColumn id="1" xr3:uid="{C2061486-E2FB-44B1-8021-A97AA07C4615}" name="Date" dataDxfId="11"/>
    <tableColumn id="2" xr3:uid="{D563103C-9A22-4003-B406-0D75D5783BAA}" name="Salespersons" dataDxfId="10"/>
    <tableColumn id="3" xr3:uid="{7D283F3E-BEAB-4CEF-8911-D6A9614E919D}" name="Product" dataDxfId="9"/>
    <tableColumn id="4" xr3:uid="{EE7B5DF1-1E20-4BF3-B254-46CDB19E65BB}" name="Customers Names" dataDxfId="8"/>
    <tableColumn id="5" xr3:uid="{953EFAF4-800E-4FB7-8F87-8CE58442FBF1}" name="Units" dataDxfId="7"/>
    <tableColumn id="6" xr3:uid="{C3D2039A-AB03-4FBA-A0BA-E41F54E27245}" name="Price" dataDxfId="6"/>
    <tableColumn id="7" xr3:uid="{9CC97601-1835-4CBC-9990-F282D18A0347}" name="Total Sale" dataDxfId="5"/>
    <tableColumn id="11" xr3:uid="{5F2EFC00-8AD5-4920-8FD0-8FEC37C488B8}" name="Profit" dataDxfId="4">
      <calculatedColumnFormula>Table1[[#This Row],[Total Sale]]*0.2</calculatedColumnFormula>
    </tableColumn>
    <tableColumn id="8" xr3:uid="{3069C682-139F-492B-857D-C97E97E9D0C1}" name="State" dataDxfId="3"/>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B5F9-D492-4940-B45E-51BC68ACF3AE}">
  <sheetPr codeName="Sheet3"/>
  <dimension ref="A1"/>
  <sheetViews>
    <sheetView showGridLines="0" tabSelected="1" zoomScaleNormal="100" workbookViewId="0">
      <selection activeCell="M33" sqref="M33"/>
    </sheetView>
  </sheetViews>
  <sheetFormatPr defaultRowHeight="14.4" x14ac:dyDescent="0.3"/>
  <cols>
    <col min="1" max="1" width="15" style="7" customWidth="1"/>
    <col min="2" max="2" width="2.109375" customWidth="1"/>
  </cols>
  <sheetData/>
  <mergeCells count="1">
    <mergeCell ref="A1:A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3AC9-EE6D-4542-A4E7-4211B7A366C8}">
  <sheetPr codeName="Sheet2"/>
  <dimension ref="A2:N42"/>
  <sheetViews>
    <sheetView showGridLines="0" workbookViewId="0">
      <selection activeCell="D27" sqref="D27"/>
    </sheetView>
  </sheetViews>
  <sheetFormatPr defaultRowHeight="14.4" x14ac:dyDescent="0.3"/>
  <cols>
    <col min="1" max="1" width="15" style="7" customWidth="1"/>
    <col min="2" max="2" width="2.109375" customWidth="1"/>
    <col min="3" max="3" width="14.77734375" bestFit="1" customWidth="1"/>
    <col min="4" max="4" width="15.6640625" bestFit="1" customWidth="1"/>
    <col min="5" max="5" width="3.109375" customWidth="1"/>
    <col min="6" max="6" width="17.21875" customWidth="1"/>
    <col min="7" max="7" width="15.21875" customWidth="1"/>
    <col min="8" max="8" width="6.6640625" customWidth="1"/>
    <col min="9" max="9" width="10.5546875" customWidth="1"/>
    <col min="10" max="10" width="15.21875" customWidth="1"/>
    <col min="11" max="11" width="11.109375" customWidth="1"/>
    <col min="12" max="12" width="12.6640625" customWidth="1"/>
    <col min="13" max="13" width="15.21875" customWidth="1"/>
    <col min="14" max="14" width="18.88671875" customWidth="1"/>
    <col min="15" max="15" width="15" customWidth="1"/>
    <col min="16" max="16" width="15.21875" bestFit="1" customWidth="1"/>
  </cols>
  <sheetData>
    <row r="2" spans="3:14" x14ac:dyDescent="0.3">
      <c r="C2" s="1" t="s">
        <v>72</v>
      </c>
      <c r="F2" s="5" t="s">
        <v>76</v>
      </c>
      <c r="G2" t="s">
        <v>71</v>
      </c>
      <c r="I2" s="5" t="s">
        <v>71</v>
      </c>
      <c r="J2" s="5" t="s">
        <v>95</v>
      </c>
      <c r="M2" s="5" t="s">
        <v>94</v>
      </c>
      <c r="N2" t="s">
        <v>71</v>
      </c>
    </row>
    <row r="3" spans="3:14" x14ac:dyDescent="0.3">
      <c r="C3" s="9">
        <v>10426266</v>
      </c>
      <c r="F3" s="4" t="s">
        <v>22</v>
      </c>
      <c r="G3" s="6">
        <v>951593</v>
      </c>
      <c r="I3" s="5" t="s">
        <v>91</v>
      </c>
      <c r="J3" t="s">
        <v>77</v>
      </c>
      <c r="K3" t="s">
        <v>78</v>
      </c>
      <c r="M3" s="4" t="s">
        <v>36</v>
      </c>
      <c r="N3" s="6">
        <v>671738</v>
      </c>
    </row>
    <row r="4" spans="3:14" x14ac:dyDescent="0.3">
      <c r="F4" s="4" t="s">
        <v>21</v>
      </c>
      <c r="G4" s="6">
        <v>873887</v>
      </c>
      <c r="I4" s="4" t="s">
        <v>79</v>
      </c>
      <c r="J4" s="6">
        <v>468431</v>
      </c>
      <c r="K4" s="6">
        <v>488822</v>
      </c>
      <c r="M4" s="4" t="s">
        <v>45</v>
      </c>
      <c r="N4" s="6">
        <v>671613</v>
      </c>
    </row>
    <row r="5" spans="3:14" x14ac:dyDescent="0.3">
      <c r="C5" t="s">
        <v>74</v>
      </c>
      <c r="F5" s="4" t="s">
        <v>17</v>
      </c>
      <c r="G5" s="6">
        <v>822057</v>
      </c>
      <c r="I5" s="4" t="s">
        <v>80</v>
      </c>
      <c r="J5" s="6">
        <v>416982</v>
      </c>
      <c r="K5" s="6">
        <v>342918</v>
      </c>
      <c r="M5" s="4" t="s">
        <v>44</v>
      </c>
      <c r="N5" s="6">
        <v>596818</v>
      </c>
    </row>
    <row r="6" spans="3:14" x14ac:dyDescent="0.3">
      <c r="C6" s="10">
        <v>2085253.200000002</v>
      </c>
      <c r="F6" s="4" t="s">
        <v>19</v>
      </c>
      <c r="G6" s="6">
        <v>797323</v>
      </c>
      <c r="I6" s="4" t="s">
        <v>81</v>
      </c>
      <c r="J6" s="6">
        <v>453964</v>
      </c>
      <c r="K6" s="6">
        <v>551952</v>
      </c>
      <c r="M6" s="4" t="s">
        <v>39</v>
      </c>
      <c r="N6" s="6">
        <v>588818</v>
      </c>
    </row>
    <row r="7" spans="3:14" x14ac:dyDescent="0.3">
      <c r="F7" s="4" t="s">
        <v>12</v>
      </c>
      <c r="G7" s="6">
        <v>764758</v>
      </c>
      <c r="I7" s="4" t="s">
        <v>82</v>
      </c>
      <c r="J7" s="6">
        <v>622178</v>
      </c>
      <c r="K7" s="6">
        <v>448391</v>
      </c>
      <c r="M7" s="4" t="s">
        <v>35</v>
      </c>
      <c r="N7" s="6">
        <v>584860</v>
      </c>
    </row>
    <row r="8" spans="3:14" x14ac:dyDescent="0.3">
      <c r="C8" t="s">
        <v>92</v>
      </c>
      <c r="F8" s="4" t="s">
        <v>28</v>
      </c>
      <c r="G8" s="6">
        <v>752955</v>
      </c>
      <c r="I8" s="4" t="s">
        <v>83</v>
      </c>
      <c r="J8" s="6">
        <v>330120</v>
      </c>
      <c r="K8" s="6">
        <v>421213</v>
      </c>
    </row>
    <row r="9" spans="3:14" x14ac:dyDescent="0.3">
      <c r="C9" s="6">
        <v>350.07440486183395</v>
      </c>
      <c r="F9" s="4" t="s">
        <v>9</v>
      </c>
      <c r="G9" s="6">
        <v>746055</v>
      </c>
      <c r="I9" s="4" t="s">
        <v>84</v>
      </c>
      <c r="J9" s="6">
        <v>393387</v>
      </c>
      <c r="K9" s="6">
        <v>370050</v>
      </c>
    </row>
    <row r="10" spans="3:14" x14ac:dyDescent="0.3">
      <c r="F10" s="4" t="s">
        <v>7</v>
      </c>
      <c r="G10" s="6">
        <v>721497</v>
      </c>
      <c r="I10" s="4" t="s">
        <v>85</v>
      </c>
      <c r="J10" s="6">
        <v>414876</v>
      </c>
      <c r="K10" s="6">
        <v>393841</v>
      </c>
    </row>
    <row r="11" spans="3:14" x14ac:dyDescent="0.3">
      <c r="C11" s="8" t="s">
        <v>96</v>
      </c>
      <c r="F11" s="4" t="s">
        <v>20</v>
      </c>
      <c r="G11" s="6">
        <v>710552</v>
      </c>
      <c r="I11" s="4" t="s">
        <v>86</v>
      </c>
      <c r="J11" s="6">
        <v>494656</v>
      </c>
      <c r="K11" s="6">
        <v>364419</v>
      </c>
    </row>
    <row r="12" spans="3:14" x14ac:dyDescent="0.3">
      <c r="C12" s="11" t="str">
        <f>INDEX(F3:F16,MATCH(MAX(G3:G16),G3:G16,0))</f>
        <v>Kerala</v>
      </c>
      <c r="F12" s="4" t="s">
        <v>24</v>
      </c>
      <c r="G12" s="6">
        <v>697271</v>
      </c>
      <c r="I12" s="4" t="s">
        <v>87</v>
      </c>
      <c r="J12" s="6">
        <v>317773</v>
      </c>
      <c r="K12" s="6">
        <v>484800</v>
      </c>
    </row>
    <row r="13" spans="3:14" x14ac:dyDescent="0.3">
      <c r="F13" s="4" t="s">
        <v>23</v>
      </c>
      <c r="G13" s="6">
        <v>666937</v>
      </c>
      <c r="I13" s="4" t="s">
        <v>88</v>
      </c>
      <c r="J13" s="6">
        <v>428804</v>
      </c>
      <c r="K13" s="6">
        <v>526831</v>
      </c>
    </row>
    <row r="14" spans="3:14" x14ac:dyDescent="0.3">
      <c r="F14" s="4" t="s">
        <v>8</v>
      </c>
      <c r="G14" s="6">
        <v>665067</v>
      </c>
      <c r="I14" s="4" t="s">
        <v>89</v>
      </c>
      <c r="J14" s="6">
        <v>484686</v>
      </c>
      <c r="K14" s="6">
        <v>389009</v>
      </c>
    </row>
    <row r="15" spans="3:14" x14ac:dyDescent="0.3">
      <c r="F15" s="4" t="s">
        <v>14</v>
      </c>
      <c r="G15" s="6">
        <v>642854</v>
      </c>
      <c r="I15" s="4" t="s">
        <v>90</v>
      </c>
      <c r="J15" s="6">
        <v>334003</v>
      </c>
      <c r="K15" s="6">
        <v>484160</v>
      </c>
    </row>
    <row r="16" spans="3:14" x14ac:dyDescent="0.3">
      <c r="F16" s="4" t="s">
        <v>15</v>
      </c>
      <c r="G16" s="6">
        <v>613460</v>
      </c>
    </row>
    <row r="17" spans="3:7" x14ac:dyDescent="0.3">
      <c r="F17" s="4" t="s">
        <v>75</v>
      </c>
      <c r="G17" s="6">
        <v>10426266</v>
      </c>
    </row>
    <row r="21" spans="3:7" x14ac:dyDescent="0.3">
      <c r="F21" s="5" t="s">
        <v>93</v>
      </c>
      <c r="G21" t="s">
        <v>71</v>
      </c>
    </row>
    <row r="22" spans="3:7" x14ac:dyDescent="0.3">
      <c r="F22" s="4" t="s">
        <v>11</v>
      </c>
      <c r="G22" s="6">
        <v>1213633</v>
      </c>
    </row>
    <row r="23" spans="3:7" x14ac:dyDescent="0.3">
      <c r="F23" s="4" t="s">
        <v>18</v>
      </c>
      <c r="G23" s="6">
        <v>1169162</v>
      </c>
    </row>
    <row r="24" spans="3:7" x14ac:dyDescent="0.3">
      <c r="F24" s="4" t="s">
        <v>27</v>
      </c>
      <c r="G24" s="6">
        <v>1099421</v>
      </c>
    </row>
    <row r="25" spans="3:7" x14ac:dyDescent="0.3">
      <c r="F25" s="4" t="s">
        <v>13</v>
      </c>
      <c r="G25" s="6">
        <v>1097138</v>
      </c>
    </row>
    <row r="26" spans="3:7" x14ac:dyDescent="0.3">
      <c r="F26" s="4" t="s">
        <v>25</v>
      </c>
      <c r="G26" s="6">
        <v>1063035</v>
      </c>
    </row>
    <row r="27" spans="3:7" x14ac:dyDescent="0.3">
      <c r="F27" s="4" t="s">
        <v>16</v>
      </c>
      <c r="G27" s="6">
        <v>1021773</v>
      </c>
    </row>
    <row r="28" spans="3:7" x14ac:dyDescent="0.3">
      <c r="F28" s="4" t="s">
        <v>6</v>
      </c>
      <c r="G28" s="6">
        <v>1019573</v>
      </c>
    </row>
    <row r="29" spans="3:7" x14ac:dyDescent="0.3">
      <c r="F29" s="4" t="s">
        <v>26</v>
      </c>
      <c r="G29" s="6">
        <v>932354</v>
      </c>
    </row>
    <row r="30" spans="3:7" x14ac:dyDescent="0.3">
      <c r="F30" s="4" t="s">
        <v>10</v>
      </c>
      <c r="G30" s="6">
        <v>909977</v>
      </c>
    </row>
    <row r="31" spans="3:7" x14ac:dyDescent="0.3">
      <c r="C31" s="4"/>
      <c r="D31" s="6"/>
      <c r="F31" s="4" t="s">
        <v>29</v>
      </c>
      <c r="G31" s="6">
        <v>900200</v>
      </c>
    </row>
    <row r="32" spans="3:7" x14ac:dyDescent="0.3">
      <c r="C32" s="4"/>
      <c r="D32" s="6"/>
      <c r="F32" s="4"/>
      <c r="G32" s="6"/>
    </row>
    <row r="33" spans="3:7" x14ac:dyDescent="0.3">
      <c r="C33" s="4"/>
      <c r="D33" s="6"/>
      <c r="F33" s="4"/>
      <c r="G33" s="6"/>
    </row>
    <row r="34" spans="3:7" x14ac:dyDescent="0.3">
      <c r="C34" s="4"/>
      <c r="D34" s="6"/>
      <c r="F34" s="4"/>
      <c r="G34" s="6"/>
    </row>
    <row r="35" spans="3:7" x14ac:dyDescent="0.3">
      <c r="C35" s="4"/>
      <c r="D35" s="6"/>
      <c r="F35" s="4"/>
      <c r="G35" s="6"/>
    </row>
    <row r="36" spans="3:7" x14ac:dyDescent="0.3">
      <c r="C36" s="4"/>
      <c r="D36" s="6"/>
      <c r="F36" s="4"/>
      <c r="G36" s="6"/>
    </row>
    <row r="37" spans="3:7" x14ac:dyDescent="0.3">
      <c r="C37" s="4"/>
      <c r="D37" s="6"/>
      <c r="F37" s="4"/>
      <c r="G37" s="6"/>
    </row>
    <row r="38" spans="3:7" x14ac:dyDescent="0.3">
      <c r="C38" s="4"/>
      <c r="D38" s="6"/>
      <c r="F38" s="4"/>
      <c r="G38" s="6"/>
    </row>
    <row r="39" spans="3:7" x14ac:dyDescent="0.3">
      <c r="F39" s="4"/>
      <c r="G39" s="6"/>
    </row>
    <row r="40" spans="3:7" x14ac:dyDescent="0.3">
      <c r="F40" s="4"/>
      <c r="G40" s="6"/>
    </row>
    <row r="41" spans="3:7" x14ac:dyDescent="0.3">
      <c r="F41" s="4"/>
      <c r="G41" s="6"/>
    </row>
    <row r="42" spans="3:7" x14ac:dyDescent="0.3">
      <c r="F42" s="4"/>
      <c r="G42" s="6"/>
    </row>
  </sheetData>
  <mergeCells count="1">
    <mergeCell ref="A1:A1048576"/>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02F4-A5AD-4D5B-83E0-A2E0AAB3B32F}">
  <sheetPr codeName="Sheet1"/>
  <dimension ref="A1:K1001"/>
  <sheetViews>
    <sheetView showGridLines="0" workbookViewId="0">
      <selection activeCell="J4" sqref="J4"/>
    </sheetView>
  </sheetViews>
  <sheetFormatPr defaultRowHeight="14.4" x14ac:dyDescent="0.3"/>
  <cols>
    <col min="1" max="1" width="15" style="7" customWidth="1"/>
    <col min="2" max="2" width="2.109375" customWidth="1"/>
    <col min="3" max="3" width="11.109375" customWidth="1"/>
    <col min="4" max="4" width="15" customWidth="1"/>
    <col min="5" max="5" width="24.109375" customWidth="1"/>
    <col min="6" max="6" width="20.77734375" customWidth="1"/>
    <col min="7" max="7" width="8.6640625" customWidth="1"/>
    <col min="8" max="8" width="9.77734375" customWidth="1"/>
    <col min="9" max="9" width="14" customWidth="1"/>
    <col min="10" max="10" width="10.21875" customWidth="1"/>
    <col min="11" max="11" width="17" customWidth="1"/>
  </cols>
  <sheetData>
    <row r="1" spans="3:11" x14ac:dyDescent="0.3">
      <c r="C1" s="2" t="s">
        <v>0</v>
      </c>
      <c r="D1" s="2" t="s">
        <v>94</v>
      </c>
      <c r="E1" s="2" t="s">
        <v>1</v>
      </c>
      <c r="F1" s="2" t="s">
        <v>30</v>
      </c>
      <c r="G1" s="2" t="s">
        <v>2</v>
      </c>
      <c r="H1" s="2" t="s">
        <v>3</v>
      </c>
      <c r="I1" s="2" t="s">
        <v>4</v>
      </c>
      <c r="J1" s="2" t="s">
        <v>73</v>
      </c>
      <c r="K1" s="2" t="s">
        <v>5</v>
      </c>
    </row>
    <row r="2" spans="3:11" x14ac:dyDescent="0.3">
      <c r="C2" s="3">
        <v>46021</v>
      </c>
      <c r="D2" s="3" t="s">
        <v>47</v>
      </c>
      <c r="E2" s="4" t="s">
        <v>11</v>
      </c>
      <c r="F2" s="4" t="s">
        <v>55</v>
      </c>
      <c r="G2" s="4">
        <v>19</v>
      </c>
      <c r="H2" s="4">
        <v>289</v>
      </c>
      <c r="I2" s="4">
        <v>5491</v>
      </c>
      <c r="J2" s="4">
        <f>Table1[[#This Row],[Total Sale]]*0.2</f>
        <v>1098.2</v>
      </c>
      <c r="K2" s="4" t="s">
        <v>17</v>
      </c>
    </row>
    <row r="3" spans="3:11" x14ac:dyDescent="0.3">
      <c r="C3" s="3">
        <v>46021</v>
      </c>
      <c r="D3" s="3" t="s">
        <v>31</v>
      </c>
      <c r="E3" s="4" t="s">
        <v>18</v>
      </c>
      <c r="F3" s="4" t="s">
        <v>67</v>
      </c>
      <c r="G3" s="4">
        <v>50</v>
      </c>
      <c r="H3" s="4">
        <v>248</v>
      </c>
      <c r="I3" s="4">
        <v>12400</v>
      </c>
      <c r="J3" s="4">
        <f>Table1[[#This Row],[Total Sale]]*0.2</f>
        <v>2480</v>
      </c>
      <c r="K3" s="4" t="s">
        <v>7</v>
      </c>
    </row>
    <row r="4" spans="3:11" x14ac:dyDescent="0.3">
      <c r="C4" s="3">
        <v>46020</v>
      </c>
      <c r="D4" s="3" t="s">
        <v>46</v>
      </c>
      <c r="E4" s="4" t="s">
        <v>25</v>
      </c>
      <c r="F4" s="4" t="s">
        <v>58</v>
      </c>
      <c r="G4" s="4">
        <v>29</v>
      </c>
      <c r="H4" s="4">
        <v>353</v>
      </c>
      <c r="I4" s="4">
        <v>10237</v>
      </c>
      <c r="J4" s="4">
        <f>Table1[[#This Row],[Total Sale]]*0.2</f>
        <v>2047.4</v>
      </c>
      <c r="K4" s="4" t="s">
        <v>19</v>
      </c>
    </row>
    <row r="5" spans="3:11" x14ac:dyDescent="0.3">
      <c r="C5" s="3">
        <v>46019</v>
      </c>
      <c r="D5" s="3" t="s">
        <v>33</v>
      </c>
      <c r="E5" s="4" t="s">
        <v>25</v>
      </c>
      <c r="F5" s="4" t="s">
        <v>68</v>
      </c>
      <c r="G5" s="4">
        <v>13</v>
      </c>
      <c r="H5" s="4">
        <v>470</v>
      </c>
      <c r="I5" s="4">
        <v>6110</v>
      </c>
      <c r="J5" s="4">
        <f>Table1[[#This Row],[Total Sale]]*0.2</f>
        <v>1222</v>
      </c>
      <c r="K5" s="4" t="s">
        <v>9</v>
      </c>
    </row>
    <row r="6" spans="3:11" x14ac:dyDescent="0.3">
      <c r="C6" s="3">
        <v>46018</v>
      </c>
      <c r="D6" s="3" t="s">
        <v>32</v>
      </c>
      <c r="E6" s="4" t="s">
        <v>16</v>
      </c>
      <c r="F6" s="4" t="s">
        <v>63</v>
      </c>
      <c r="G6" s="4">
        <v>28</v>
      </c>
      <c r="H6" s="4">
        <v>246</v>
      </c>
      <c r="I6" s="4">
        <v>6888</v>
      </c>
      <c r="J6" s="4">
        <f>Table1[[#This Row],[Total Sale]]*0.2</f>
        <v>1377.6000000000001</v>
      </c>
      <c r="K6" s="4" t="s">
        <v>14</v>
      </c>
    </row>
    <row r="7" spans="3:11" x14ac:dyDescent="0.3">
      <c r="C7" s="3">
        <v>46017</v>
      </c>
      <c r="D7" s="3" t="s">
        <v>40</v>
      </c>
      <c r="E7" s="4" t="s">
        <v>13</v>
      </c>
      <c r="F7" s="4" t="s">
        <v>51</v>
      </c>
      <c r="G7" s="4">
        <v>19</v>
      </c>
      <c r="H7" s="4">
        <v>343</v>
      </c>
      <c r="I7" s="4">
        <v>6517</v>
      </c>
      <c r="J7" s="4">
        <f>Table1[[#This Row],[Total Sale]]*0.2</f>
        <v>1303.4000000000001</v>
      </c>
      <c r="K7" s="4" t="s">
        <v>21</v>
      </c>
    </row>
    <row r="8" spans="3:11" x14ac:dyDescent="0.3">
      <c r="C8" s="3">
        <v>46016</v>
      </c>
      <c r="D8" s="3" t="s">
        <v>48</v>
      </c>
      <c r="E8" s="4" t="s">
        <v>10</v>
      </c>
      <c r="F8" s="4" t="s">
        <v>57</v>
      </c>
      <c r="G8" s="4">
        <v>35</v>
      </c>
      <c r="H8" s="4">
        <v>391</v>
      </c>
      <c r="I8" s="4">
        <v>13685</v>
      </c>
      <c r="J8" s="4">
        <f>Table1[[#This Row],[Total Sale]]*0.2</f>
        <v>2737</v>
      </c>
      <c r="K8" s="4" t="s">
        <v>9</v>
      </c>
    </row>
    <row r="9" spans="3:11" x14ac:dyDescent="0.3">
      <c r="C9" s="3">
        <v>46016</v>
      </c>
      <c r="D9" s="3" t="s">
        <v>48</v>
      </c>
      <c r="E9" s="4" t="s">
        <v>6</v>
      </c>
      <c r="F9" s="4" t="s">
        <v>66</v>
      </c>
      <c r="G9" s="4">
        <v>32</v>
      </c>
      <c r="H9" s="4">
        <v>411</v>
      </c>
      <c r="I9" s="4">
        <v>13152</v>
      </c>
      <c r="J9" s="4">
        <f>Table1[[#This Row],[Total Sale]]*0.2</f>
        <v>2630.4</v>
      </c>
      <c r="K9" s="4" t="s">
        <v>19</v>
      </c>
    </row>
    <row r="10" spans="3:11" x14ac:dyDescent="0.3">
      <c r="C10" s="3">
        <v>46015</v>
      </c>
      <c r="D10" s="3" t="s">
        <v>45</v>
      </c>
      <c r="E10" s="4" t="s">
        <v>26</v>
      </c>
      <c r="F10" s="4" t="s">
        <v>64</v>
      </c>
      <c r="G10" s="4">
        <v>37</v>
      </c>
      <c r="H10" s="4">
        <v>307</v>
      </c>
      <c r="I10" s="4">
        <v>11359</v>
      </c>
      <c r="J10" s="4">
        <f>Table1[[#This Row],[Total Sale]]*0.2</f>
        <v>2271.8000000000002</v>
      </c>
      <c r="K10" s="4" t="s">
        <v>22</v>
      </c>
    </row>
    <row r="11" spans="3:11" x14ac:dyDescent="0.3">
      <c r="C11" s="3">
        <v>46014</v>
      </c>
      <c r="D11" s="3" t="s">
        <v>34</v>
      </c>
      <c r="E11" s="4" t="s">
        <v>26</v>
      </c>
      <c r="F11" s="4" t="s">
        <v>57</v>
      </c>
      <c r="G11" s="4">
        <v>32</v>
      </c>
      <c r="H11" s="4">
        <v>208</v>
      </c>
      <c r="I11" s="4">
        <v>6656</v>
      </c>
      <c r="J11" s="4">
        <f>Table1[[#This Row],[Total Sale]]*0.2</f>
        <v>1331.2</v>
      </c>
      <c r="K11" s="4" t="s">
        <v>23</v>
      </c>
    </row>
    <row r="12" spans="3:11" x14ac:dyDescent="0.3">
      <c r="C12" s="3">
        <v>46014</v>
      </c>
      <c r="D12" s="3" t="s">
        <v>34</v>
      </c>
      <c r="E12" s="4" t="s">
        <v>10</v>
      </c>
      <c r="F12" s="4" t="s">
        <v>58</v>
      </c>
      <c r="G12" s="4">
        <v>10</v>
      </c>
      <c r="H12" s="4">
        <v>229</v>
      </c>
      <c r="I12" s="4">
        <v>2290</v>
      </c>
      <c r="J12" s="4">
        <f>Table1[[#This Row],[Total Sale]]*0.2</f>
        <v>458</v>
      </c>
      <c r="K12" s="4" t="s">
        <v>12</v>
      </c>
    </row>
    <row r="13" spans="3:11" x14ac:dyDescent="0.3">
      <c r="C13" s="3">
        <v>46014</v>
      </c>
      <c r="D13" s="3" t="s">
        <v>31</v>
      </c>
      <c r="E13" s="4" t="s">
        <v>13</v>
      </c>
      <c r="F13" s="4" t="s">
        <v>68</v>
      </c>
      <c r="G13" s="4">
        <v>21</v>
      </c>
      <c r="H13" s="4">
        <v>367</v>
      </c>
      <c r="I13" s="4">
        <v>7707</v>
      </c>
      <c r="J13" s="4">
        <f>Table1[[#This Row],[Total Sale]]*0.2</f>
        <v>1541.4</v>
      </c>
      <c r="K13" s="4" t="s">
        <v>14</v>
      </c>
    </row>
    <row r="14" spans="3:11" x14ac:dyDescent="0.3">
      <c r="C14" s="3">
        <v>46014</v>
      </c>
      <c r="D14" s="3" t="s">
        <v>42</v>
      </c>
      <c r="E14" s="4" t="s">
        <v>29</v>
      </c>
      <c r="F14" s="4" t="s">
        <v>58</v>
      </c>
      <c r="G14" s="4">
        <v>42</v>
      </c>
      <c r="H14" s="4">
        <v>476</v>
      </c>
      <c r="I14" s="4">
        <v>19992</v>
      </c>
      <c r="J14" s="4">
        <f>Table1[[#This Row],[Total Sale]]*0.2</f>
        <v>3998.4</v>
      </c>
      <c r="K14" s="4" t="s">
        <v>17</v>
      </c>
    </row>
    <row r="15" spans="3:11" x14ac:dyDescent="0.3">
      <c r="C15" s="3">
        <v>46012</v>
      </c>
      <c r="D15" s="3" t="s">
        <v>34</v>
      </c>
      <c r="E15" s="4" t="s">
        <v>27</v>
      </c>
      <c r="F15" s="4" t="s">
        <v>51</v>
      </c>
      <c r="G15" s="4">
        <v>38</v>
      </c>
      <c r="H15" s="4">
        <v>316</v>
      </c>
      <c r="I15" s="4">
        <v>12008</v>
      </c>
      <c r="J15" s="4">
        <f>Table1[[#This Row],[Total Sale]]*0.2</f>
        <v>2401.6</v>
      </c>
      <c r="K15" s="4" t="s">
        <v>17</v>
      </c>
    </row>
    <row r="16" spans="3:11" x14ac:dyDescent="0.3">
      <c r="C16" s="3">
        <v>46011</v>
      </c>
      <c r="D16" s="3" t="s">
        <v>37</v>
      </c>
      <c r="E16" s="4" t="s">
        <v>27</v>
      </c>
      <c r="F16" s="4" t="s">
        <v>65</v>
      </c>
      <c r="G16" s="4">
        <v>33</v>
      </c>
      <c r="H16" s="4">
        <v>469</v>
      </c>
      <c r="I16" s="4">
        <v>15477</v>
      </c>
      <c r="J16" s="4">
        <f>Table1[[#This Row],[Total Sale]]*0.2</f>
        <v>3095.4</v>
      </c>
      <c r="K16" s="4" t="s">
        <v>9</v>
      </c>
    </row>
    <row r="17" spans="3:11" x14ac:dyDescent="0.3">
      <c r="C17" s="3">
        <v>46011</v>
      </c>
      <c r="D17" s="3" t="s">
        <v>39</v>
      </c>
      <c r="E17" s="4" t="s">
        <v>25</v>
      </c>
      <c r="F17" s="4" t="s">
        <v>66</v>
      </c>
      <c r="G17" s="4">
        <v>13</v>
      </c>
      <c r="H17" s="4">
        <v>493</v>
      </c>
      <c r="I17" s="4">
        <v>6409</v>
      </c>
      <c r="J17" s="4">
        <f>Table1[[#This Row],[Total Sale]]*0.2</f>
        <v>1281.8000000000002</v>
      </c>
      <c r="K17" s="4" t="s">
        <v>7</v>
      </c>
    </row>
    <row r="18" spans="3:11" x14ac:dyDescent="0.3">
      <c r="C18" s="3">
        <v>46011</v>
      </c>
      <c r="D18" s="3" t="s">
        <v>35</v>
      </c>
      <c r="E18" s="4" t="s">
        <v>25</v>
      </c>
      <c r="F18" s="4" t="s">
        <v>68</v>
      </c>
      <c r="G18" s="4">
        <v>41</v>
      </c>
      <c r="H18" s="4">
        <v>360</v>
      </c>
      <c r="I18" s="4">
        <v>14760</v>
      </c>
      <c r="J18" s="4">
        <f>Table1[[#This Row],[Total Sale]]*0.2</f>
        <v>2952</v>
      </c>
      <c r="K18" s="4" t="s">
        <v>22</v>
      </c>
    </row>
    <row r="19" spans="3:11" x14ac:dyDescent="0.3">
      <c r="C19" s="3">
        <v>46011</v>
      </c>
      <c r="D19" s="3" t="s">
        <v>45</v>
      </c>
      <c r="E19" s="4" t="s">
        <v>11</v>
      </c>
      <c r="F19" s="4" t="s">
        <v>55</v>
      </c>
      <c r="G19" s="4">
        <v>34</v>
      </c>
      <c r="H19" s="4">
        <v>411</v>
      </c>
      <c r="I19" s="4">
        <v>13974</v>
      </c>
      <c r="J19" s="4">
        <f>Table1[[#This Row],[Total Sale]]*0.2</f>
        <v>2794.8</v>
      </c>
      <c r="K19" s="4" t="s">
        <v>7</v>
      </c>
    </row>
    <row r="20" spans="3:11" x14ac:dyDescent="0.3">
      <c r="C20" s="3">
        <v>46011</v>
      </c>
      <c r="D20" s="3" t="s">
        <v>45</v>
      </c>
      <c r="E20" s="4" t="s">
        <v>11</v>
      </c>
      <c r="F20" s="4" t="s">
        <v>55</v>
      </c>
      <c r="G20" s="4">
        <v>41</v>
      </c>
      <c r="H20" s="4">
        <v>233</v>
      </c>
      <c r="I20" s="4">
        <v>9553</v>
      </c>
      <c r="J20" s="4">
        <f>Table1[[#This Row],[Total Sale]]*0.2</f>
        <v>1910.6000000000001</v>
      </c>
      <c r="K20" s="4" t="s">
        <v>8</v>
      </c>
    </row>
    <row r="21" spans="3:11" x14ac:dyDescent="0.3">
      <c r="C21" s="3">
        <v>46011</v>
      </c>
      <c r="D21" s="3" t="s">
        <v>46</v>
      </c>
      <c r="E21" s="4" t="s">
        <v>13</v>
      </c>
      <c r="F21" s="4" t="s">
        <v>64</v>
      </c>
      <c r="G21" s="4">
        <v>36</v>
      </c>
      <c r="H21" s="4">
        <v>224</v>
      </c>
      <c r="I21" s="4">
        <v>8064</v>
      </c>
      <c r="J21" s="4">
        <f>Table1[[#This Row],[Total Sale]]*0.2</f>
        <v>1612.8000000000002</v>
      </c>
      <c r="K21" s="4" t="s">
        <v>22</v>
      </c>
    </row>
    <row r="22" spans="3:11" x14ac:dyDescent="0.3">
      <c r="C22" s="3">
        <v>46010</v>
      </c>
      <c r="D22" s="3" t="s">
        <v>48</v>
      </c>
      <c r="E22" s="4" t="s">
        <v>27</v>
      </c>
      <c r="F22" s="4" t="s">
        <v>62</v>
      </c>
      <c r="G22" s="4">
        <v>22</v>
      </c>
      <c r="H22" s="4">
        <v>499</v>
      </c>
      <c r="I22" s="4">
        <v>10978</v>
      </c>
      <c r="J22" s="4">
        <f>Table1[[#This Row],[Total Sale]]*0.2</f>
        <v>2195.6</v>
      </c>
      <c r="K22" s="4" t="s">
        <v>12</v>
      </c>
    </row>
    <row r="23" spans="3:11" x14ac:dyDescent="0.3">
      <c r="C23" s="3">
        <v>46010</v>
      </c>
      <c r="D23" s="3" t="s">
        <v>42</v>
      </c>
      <c r="E23" s="4" t="s">
        <v>11</v>
      </c>
      <c r="F23" s="4" t="s">
        <v>66</v>
      </c>
      <c r="G23" s="4">
        <v>29</v>
      </c>
      <c r="H23" s="4">
        <v>296</v>
      </c>
      <c r="I23" s="4">
        <v>8584</v>
      </c>
      <c r="J23" s="4">
        <f>Table1[[#This Row],[Total Sale]]*0.2</f>
        <v>1716.8000000000002</v>
      </c>
      <c r="K23" s="4" t="s">
        <v>22</v>
      </c>
    </row>
    <row r="24" spans="3:11" x14ac:dyDescent="0.3">
      <c r="C24" s="3">
        <v>46010</v>
      </c>
      <c r="D24" s="3" t="s">
        <v>32</v>
      </c>
      <c r="E24" s="4" t="s">
        <v>13</v>
      </c>
      <c r="F24" s="4" t="s">
        <v>56</v>
      </c>
      <c r="G24" s="4">
        <v>30</v>
      </c>
      <c r="H24" s="4">
        <v>340</v>
      </c>
      <c r="I24" s="4">
        <v>10200</v>
      </c>
      <c r="J24" s="4">
        <f>Table1[[#This Row],[Total Sale]]*0.2</f>
        <v>2040</v>
      </c>
      <c r="K24" s="4" t="s">
        <v>7</v>
      </c>
    </row>
    <row r="25" spans="3:11" x14ac:dyDescent="0.3">
      <c r="C25" s="3">
        <v>46009</v>
      </c>
      <c r="D25" s="3" t="s">
        <v>31</v>
      </c>
      <c r="E25" s="4" t="s">
        <v>11</v>
      </c>
      <c r="F25" s="4" t="s">
        <v>64</v>
      </c>
      <c r="G25" s="4">
        <v>28</v>
      </c>
      <c r="H25" s="4">
        <v>405</v>
      </c>
      <c r="I25" s="4">
        <v>11340</v>
      </c>
      <c r="J25" s="4">
        <f>Table1[[#This Row],[Total Sale]]*0.2</f>
        <v>2268</v>
      </c>
      <c r="K25" s="4" t="s">
        <v>17</v>
      </c>
    </row>
    <row r="26" spans="3:11" x14ac:dyDescent="0.3">
      <c r="C26" s="3">
        <v>46009</v>
      </c>
      <c r="D26" s="3" t="s">
        <v>33</v>
      </c>
      <c r="E26" s="4" t="s">
        <v>10</v>
      </c>
      <c r="F26" s="4" t="s">
        <v>51</v>
      </c>
      <c r="G26" s="4">
        <v>43</v>
      </c>
      <c r="H26" s="4">
        <v>312</v>
      </c>
      <c r="I26" s="4">
        <v>13416</v>
      </c>
      <c r="J26" s="4">
        <f>Table1[[#This Row],[Total Sale]]*0.2</f>
        <v>2683.2000000000003</v>
      </c>
      <c r="K26" s="4" t="s">
        <v>28</v>
      </c>
    </row>
    <row r="27" spans="3:11" x14ac:dyDescent="0.3">
      <c r="C27" s="3">
        <v>46008</v>
      </c>
      <c r="D27" s="3" t="s">
        <v>40</v>
      </c>
      <c r="E27" s="4" t="s">
        <v>18</v>
      </c>
      <c r="F27" s="4" t="s">
        <v>56</v>
      </c>
      <c r="G27" s="4">
        <v>11</v>
      </c>
      <c r="H27" s="4">
        <v>411</v>
      </c>
      <c r="I27" s="4">
        <v>4521</v>
      </c>
      <c r="J27" s="4">
        <f>Table1[[#This Row],[Total Sale]]*0.2</f>
        <v>904.2</v>
      </c>
      <c r="K27" s="4" t="s">
        <v>12</v>
      </c>
    </row>
    <row r="28" spans="3:11" x14ac:dyDescent="0.3">
      <c r="C28" s="3">
        <v>46007</v>
      </c>
      <c r="D28" s="3" t="s">
        <v>40</v>
      </c>
      <c r="E28" s="4" t="s">
        <v>27</v>
      </c>
      <c r="F28" s="4" t="s">
        <v>67</v>
      </c>
      <c r="G28" s="4">
        <v>46</v>
      </c>
      <c r="H28" s="4">
        <v>292</v>
      </c>
      <c r="I28" s="4">
        <v>13432</v>
      </c>
      <c r="J28" s="4">
        <f>Table1[[#This Row],[Total Sale]]*0.2</f>
        <v>2686.4</v>
      </c>
      <c r="K28" s="4" t="s">
        <v>28</v>
      </c>
    </row>
    <row r="29" spans="3:11" x14ac:dyDescent="0.3">
      <c r="C29" s="3">
        <v>46007</v>
      </c>
      <c r="D29" s="3" t="s">
        <v>46</v>
      </c>
      <c r="E29" s="4" t="s">
        <v>16</v>
      </c>
      <c r="F29" s="4" t="s">
        <v>63</v>
      </c>
      <c r="G29" s="4">
        <v>46</v>
      </c>
      <c r="H29" s="4">
        <v>350</v>
      </c>
      <c r="I29" s="4">
        <v>16100</v>
      </c>
      <c r="J29" s="4">
        <f>Table1[[#This Row],[Total Sale]]*0.2</f>
        <v>3220</v>
      </c>
      <c r="K29" s="4" t="s">
        <v>8</v>
      </c>
    </row>
    <row r="30" spans="3:11" x14ac:dyDescent="0.3">
      <c r="C30" s="3">
        <v>46004</v>
      </c>
      <c r="D30" s="3" t="s">
        <v>46</v>
      </c>
      <c r="E30" s="4" t="s">
        <v>18</v>
      </c>
      <c r="F30" s="4" t="s">
        <v>61</v>
      </c>
      <c r="G30" s="4">
        <v>49</v>
      </c>
      <c r="H30" s="4">
        <v>328</v>
      </c>
      <c r="I30" s="4">
        <v>16072</v>
      </c>
      <c r="J30" s="4">
        <f>Table1[[#This Row],[Total Sale]]*0.2</f>
        <v>3214.4</v>
      </c>
      <c r="K30" s="4" t="s">
        <v>21</v>
      </c>
    </row>
    <row r="31" spans="3:11" x14ac:dyDescent="0.3">
      <c r="C31" s="3">
        <v>46004</v>
      </c>
      <c r="D31" s="3" t="s">
        <v>40</v>
      </c>
      <c r="E31" s="4" t="s">
        <v>18</v>
      </c>
      <c r="F31" s="4" t="s">
        <v>64</v>
      </c>
      <c r="G31" s="4">
        <v>11</v>
      </c>
      <c r="H31" s="4">
        <v>282</v>
      </c>
      <c r="I31" s="4">
        <v>3102</v>
      </c>
      <c r="J31" s="4">
        <f>Table1[[#This Row],[Total Sale]]*0.2</f>
        <v>620.40000000000009</v>
      </c>
      <c r="K31" s="4" t="s">
        <v>20</v>
      </c>
    </row>
    <row r="32" spans="3:11" x14ac:dyDescent="0.3">
      <c r="C32" s="3">
        <v>46004</v>
      </c>
      <c r="D32" s="3" t="s">
        <v>46</v>
      </c>
      <c r="E32" s="4" t="s">
        <v>16</v>
      </c>
      <c r="F32" s="4" t="s">
        <v>66</v>
      </c>
      <c r="G32" s="4">
        <v>26</v>
      </c>
      <c r="H32" s="4">
        <v>470</v>
      </c>
      <c r="I32" s="4">
        <v>12220</v>
      </c>
      <c r="J32" s="4">
        <f>Table1[[#This Row],[Total Sale]]*0.2</f>
        <v>2444</v>
      </c>
      <c r="K32" s="4" t="s">
        <v>8</v>
      </c>
    </row>
    <row r="33" spans="3:11" x14ac:dyDescent="0.3">
      <c r="C33" s="3">
        <v>46004</v>
      </c>
      <c r="D33" s="3" t="s">
        <v>47</v>
      </c>
      <c r="E33" s="4" t="s">
        <v>16</v>
      </c>
      <c r="F33" s="4" t="s">
        <v>53</v>
      </c>
      <c r="G33" s="4">
        <v>36</v>
      </c>
      <c r="H33" s="4">
        <v>417</v>
      </c>
      <c r="I33" s="4">
        <v>15012</v>
      </c>
      <c r="J33" s="4">
        <f>Table1[[#This Row],[Total Sale]]*0.2</f>
        <v>3002.4</v>
      </c>
      <c r="K33" s="4" t="s">
        <v>19</v>
      </c>
    </row>
    <row r="34" spans="3:11" x14ac:dyDescent="0.3">
      <c r="C34" s="3">
        <v>46003</v>
      </c>
      <c r="D34" s="3" t="s">
        <v>31</v>
      </c>
      <c r="E34" s="4" t="s">
        <v>29</v>
      </c>
      <c r="F34" s="4" t="s">
        <v>55</v>
      </c>
      <c r="G34" s="4">
        <v>19</v>
      </c>
      <c r="H34" s="4">
        <v>422</v>
      </c>
      <c r="I34" s="4">
        <v>8018</v>
      </c>
      <c r="J34" s="4">
        <f>Table1[[#This Row],[Total Sale]]*0.2</f>
        <v>1603.6000000000001</v>
      </c>
      <c r="K34" s="4" t="s">
        <v>19</v>
      </c>
    </row>
    <row r="35" spans="3:11" x14ac:dyDescent="0.3">
      <c r="C35" s="3">
        <v>46002</v>
      </c>
      <c r="D35" s="3" t="s">
        <v>40</v>
      </c>
      <c r="E35" s="4" t="s">
        <v>18</v>
      </c>
      <c r="F35" s="4" t="s">
        <v>69</v>
      </c>
      <c r="G35" s="4">
        <v>45</v>
      </c>
      <c r="H35" s="4">
        <v>283</v>
      </c>
      <c r="I35" s="4">
        <v>12735</v>
      </c>
      <c r="J35" s="4">
        <f>Table1[[#This Row],[Total Sale]]*0.2</f>
        <v>2547</v>
      </c>
      <c r="K35" s="4" t="s">
        <v>14</v>
      </c>
    </row>
    <row r="36" spans="3:11" x14ac:dyDescent="0.3">
      <c r="C36" s="3">
        <v>46002</v>
      </c>
      <c r="D36" s="3" t="s">
        <v>31</v>
      </c>
      <c r="E36" s="4" t="s">
        <v>18</v>
      </c>
      <c r="F36" s="4" t="s">
        <v>65</v>
      </c>
      <c r="G36" s="4">
        <v>31</v>
      </c>
      <c r="H36" s="4">
        <v>257</v>
      </c>
      <c r="I36" s="4">
        <v>7967</v>
      </c>
      <c r="J36" s="4">
        <f>Table1[[#This Row],[Total Sale]]*0.2</f>
        <v>1593.4</v>
      </c>
      <c r="K36" s="4" t="s">
        <v>28</v>
      </c>
    </row>
    <row r="37" spans="3:11" x14ac:dyDescent="0.3">
      <c r="C37" s="3">
        <v>46000</v>
      </c>
      <c r="D37" s="3" t="s">
        <v>45</v>
      </c>
      <c r="E37" s="4" t="s">
        <v>25</v>
      </c>
      <c r="F37" s="4" t="s">
        <v>63</v>
      </c>
      <c r="G37" s="4">
        <v>22</v>
      </c>
      <c r="H37" s="4">
        <v>301</v>
      </c>
      <c r="I37" s="4">
        <v>6622</v>
      </c>
      <c r="J37" s="4">
        <f>Table1[[#This Row],[Total Sale]]*0.2</f>
        <v>1324.4</v>
      </c>
      <c r="K37" s="4" t="s">
        <v>23</v>
      </c>
    </row>
    <row r="38" spans="3:11" x14ac:dyDescent="0.3">
      <c r="C38" s="3">
        <v>45999</v>
      </c>
      <c r="D38" s="3" t="s">
        <v>31</v>
      </c>
      <c r="E38" s="4" t="s">
        <v>29</v>
      </c>
      <c r="F38" s="4" t="s">
        <v>66</v>
      </c>
      <c r="G38" s="4">
        <v>31</v>
      </c>
      <c r="H38" s="4">
        <v>337</v>
      </c>
      <c r="I38" s="4">
        <v>10447</v>
      </c>
      <c r="J38" s="4">
        <f>Table1[[#This Row],[Total Sale]]*0.2</f>
        <v>2089.4</v>
      </c>
      <c r="K38" s="4" t="s">
        <v>28</v>
      </c>
    </row>
    <row r="39" spans="3:11" x14ac:dyDescent="0.3">
      <c r="C39" s="3">
        <v>45998</v>
      </c>
      <c r="D39" s="3" t="s">
        <v>39</v>
      </c>
      <c r="E39" s="4" t="s">
        <v>18</v>
      </c>
      <c r="F39" s="4" t="s">
        <v>59</v>
      </c>
      <c r="G39" s="4">
        <v>50</v>
      </c>
      <c r="H39" s="4">
        <v>327</v>
      </c>
      <c r="I39" s="4">
        <v>16350</v>
      </c>
      <c r="J39" s="4">
        <f>Table1[[#This Row],[Total Sale]]*0.2</f>
        <v>3270</v>
      </c>
      <c r="K39" s="4" t="s">
        <v>28</v>
      </c>
    </row>
    <row r="40" spans="3:11" x14ac:dyDescent="0.3">
      <c r="C40" s="3">
        <v>45997</v>
      </c>
      <c r="D40" s="3" t="s">
        <v>32</v>
      </c>
      <c r="E40" s="4" t="s">
        <v>27</v>
      </c>
      <c r="F40" s="4" t="s">
        <v>59</v>
      </c>
      <c r="G40" s="4">
        <v>31</v>
      </c>
      <c r="H40" s="4">
        <v>246</v>
      </c>
      <c r="I40" s="4">
        <v>7626</v>
      </c>
      <c r="J40" s="4">
        <f>Table1[[#This Row],[Total Sale]]*0.2</f>
        <v>1525.2</v>
      </c>
      <c r="K40" s="4" t="s">
        <v>14</v>
      </c>
    </row>
    <row r="41" spans="3:11" x14ac:dyDescent="0.3">
      <c r="C41" s="3">
        <v>45997</v>
      </c>
      <c r="D41" s="3" t="s">
        <v>32</v>
      </c>
      <c r="E41" s="4" t="s">
        <v>6</v>
      </c>
      <c r="F41" s="4" t="s">
        <v>54</v>
      </c>
      <c r="G41" s="4">
        <v>11</v>
      </c>
      <c r="H41" s="4">
        <v>229</v>
      </c>
      <c r="I41" s="4">
        <v>2519</v>
      </c>
      <c r="J41" s="4">
        <f>Table1[[#This Row],[Total Sale]]*0.2</f>
        <v>503.8</v>
      </c>
      <c r="K41" s="4" t="s">
        <v>7</v>
      </c>
    </row>
    <row r="42" spans="3:11" x14ac:dyDescent="0.3">
      <c r="C42" s="3">
        <v>45997</v>
      </c>
      <c r="D42" s="3" t="s">
        <v>34</v>
      </c>
      <c r="E42" s="4" t="s">
        <v>18</v>
      </c>
      <c r="F42" s="4" t="s">
        <v>65</v>
      </c>
      <c r="G42" s="4">
        <v>35</v>
      </c>
      <c r="H42" s="4">
        <v>294</v>
      </c>
      <c r="I42" s="4">
        <v>10290</v>
      </c>
      <c r="J42" s="4">
        <f>Table1[[#This Row],[Total Sale]]*0.2</f>
        <v>2058</v>
      </c>
      <c r="K42" s="4" t="s">
        <v>8</v>
      </c>
    </row>
    <row r="43" spans="3:11" x14ac:dyDescent="0.3">
      <c r="C43" s="3">
        <v>45996</v>
      </c>
      <c r="D43" s="3" t="s">
        <v>43</v>
      </c>
      <c r="E43" s="4" t="s">
        <v>26</v>
      </c>
      <c r="F43" s="4" t="s">
        <v>62</v>
      </c>
      <c r="G43" s="4">
        <v>35</v>
      </c>
      <c r="H43" s="4">
        <v>271</v>
      </c>
      <c r="I43" s="4">
        <v>9485</v>
      </c>
      <c r="J43" s="4">
        <f>Table1[[#This Row],[Total Sale]]*0.2</f>
        <v>1897</v>
      </c>
      <c r="K43" s="4" t="s">
        <v>12</v>
      </c>
    </row>
    <row r="44" spans="3:11" x14ac:dyDescent="0.3">
      <c r="C44" s="3">
        <v>45996</v>
      </c>
      <c r="D44" s="3" t="s">
        <v>35</v>
      </c>
      <c r="E44" s="4" t="s">
        <v>6</v>
      </c>
      <c r="F44" s="4" t="s">
        <v>61</v>
      </c>
      <c r="G44" s="4">
        <v>46</v>
      </c>
      <c r="H44" s="4">
        <v>394</v>
      </c>
      <c r="I44" s="4">
        <v>18124</v>
      </c>
      <c r="J44" s="4">
        <f>Table1[[#This Row],[Total Sale]]*0.2</f>
        <v>3624.8</v>
      </c>
      <c r="K44" s="4" t="s">
        <v>9</v>
      </c>
    </row>
    <row r="45" spans="3:11" x14ac:dyDescent="0.3">
      <c r="C45" s="3">
        <v>45994</v>
      </c>
      <c r="D45" s="3" t="s">
        <v>34</v>
      </c>
      <c r="E45" s="4" t="s">
        <v>6</v>
      </c>
      <c r="F45" s="4" t="s">
        <v>54</v>
      </c>
      <c r="G45" s="4">
        <v>21</v>
      </c>
      <c r="H45" s="4">
        <v>499</v>
      </c>
      <c r="I45" s="4">
        <v>10479</v>
      </c>
      <c r="J45" s="4">
        <f>Table1[[#This Row],[Total Sale]]*0.2</f>
        <v>2095.8000000000002</v>
      </c>
      <c r="K45" s="4" t="s">
        <v>15</v>
      </c>
    </row>
    <row r="46" spans="3:11" x14ac:dyDescent="0.3">
      <c r="C46" s="3">
        <v>45994</v>
      </c>
      <c r="D46" s="3" t="s">
        <v>47</v>
      </c>
      <c r="E46" s="4" t="s">
        <v>18</v>
      </c>
      <c r="F46" s="4" t="s">
        <v>61</v>
      </c>
      <c r="G46" s="4">
        <v>49</v>
      </c>
      <c r="H46" s="4">
        <v>479</v>
      </c>
      <c r="I46" s="4">
        <v>23471</v>
      </c>
      <c r="J46" s="4">
        <f>Table1[[#This Row],[Total Sale]]*0.2</f>
        <v>4694.2</v>
      </c>
      <c r="K46" s="4" t="s">
        <v>23</v>
      </c>
    </row>
    <row r="47" spans="3:11" x14ac:dyDescent="0.3">
      <c r="C47" s="3">
        <v>45992</v>
      </c>
      <c r="D47" s="3" t="s">
        <v>32</v>
      </c>
      <c r="E47" s="4" t="s">
        <v>11</v>
      </c>
      <c r="F47" s="4" t="s">
        <v>52</v>
      </c>
      <c r="G47" s="4">
        <v>11</v>
      </c>
      <c r="H47" s="4">
        <v>211</v>
      </c>
      <c r="I47" s="4">
        <v>2321</v>
      </c>
      <c r="J47" s="4">
        <f>Table1[[#This Row],[Total Sale]]*0.2</f>
        <v>464.20000000000005</v>
      </c>
      <c r="K47" s="4" t="s">
        <v>17</v>
      </c>
    </row>
    <row r="48" spans="3:11" x14ac:dyDescent="0.3">
      <c r="C48" s="3">
        <v>45991</v>
      </c>
      <c r="D48" s="3" t="s">
        <v>32</v>
      </c>
      <c r="E48" s="4" t="s">
        <v>6</v>
      </c>
      <c r="F48" s="4" t="s">
        <v>67</v>
      </c>
      <c r="G48" s="4">
        <v>31</v>
      </c>
      <c r="H48" s="4">
        <v>425</v>
      </c>
      <c r="I48" s="4">
        <v>13175</v>
      </c>
      <c r="J48" s="4">
        <f>Table1[[#This Row],[Total Sale]]*0.2</f>
        <v>2635</v>
      </c>
      <c r="K48" s="4" t="s">
        <v>15</v>
      </c>
    </row>
    <row r="49" spans="3:11" x14ac:dyDescent="0.3">
      <c r="C49" s="3">
        <v>45991</v>
      </c>
      <c r="D49" s="3" t="s">
        <v>43</v>
      </c>
      <c r="E49" s="4" t="s">
        <v>16</v>
      </c>
      <c r="F49" s="4" t="s">
        <v>60</v>
      </c>
      <c r="G49" s="4">
        <v>45</v>
      </c>
      <c r="H49" s="4">
        <v>480</v>
      </c>
      <c r="I49" s="4">
        <v>21600</v>
      </c>
      <c r="J49" s="4">
        <f>Table1[[#This Row],[Total Sale]]*0.2</f>
        <v>4320</v>
      </c>
      <c r="K49" s="4" t="s">
        <v>9</v>
      </c>
    </row>
    <row r="50" spans="3:11" x14ac:dyDescent="0.3">
      <c r="C50" s="3">
        <v>45991</v>
      </c>
      <c r="D50" s="3" t="s">
        <v>47</v>
      </c>
      <c r="E50" s="4" t="s">
        <v>29</v>
      </c>
      <c r="F50" s="4" t="s">
        <v>61</v>
      </c>
      <c r="G50" s="4">
        <v>18</v>
      </c>
      <c r="H50" s="4">
        <v>353</v>
      </c>
      <c r="I50" s="4">
        <v>6354</v>
      </c>
      <c r="J50" s="4">
        <f>Table1[[#This Row],[Total Sale]]*0.2</f>
        <v>1270.8000000000002</v>
      </c>
      <c r="K50" s="4" t="s">
        <v>8</v>
      </c>
    </row>
    <row r="51" spans="3:11" x14ac:dyDescent="0.3">
      <c r="C51" s="3">
        <v>45989</v>
      </c>
      <c r="D51" s="3" t="s">
        <v>36</v>
      </c>
      <c r="E51" s="4" t="s">
        <v>27</v>
      </c>
      <c r="F51" s="4" t="s">
        <v>69</v>
      </c>
      <c r="G51" s="4">
        <v>15</v>
      </c>
      <c r="H51" s="4">
        <v>480</v>
      </c>
      <c r="I51" s="4">
        <v>7200</v>
      </c>
      <c r="J51" s="4">
        <f>Table1[[#This Row],[Total Sale]]*0.2</f>
        <v>1440</v>
      </c>
      <c r="K51" s="4" t="s">
        <v>17</v>
      </c>
    </row>
    <row r="52" spans="3:11" x14ac:dyDescent="0.3">
      <c r="C52" s="3">
        <v>45988</v>
      </c>
      <c r="D52" s="3" t="s">
        <v>33</v>
      </c>
      <c r="E52" s="4" t="s">
        <v>10</v>
      </c>
      <c r="F52" s="4" t="s">
        <v>51</v>
      </c>
      <c r="G52" s="4">
        <v>29</v>
      </c>
      <c r="H52" s="4">
        <v>285</v>
      </c>
      <c r="I52" s="4">
        <v>8265</v>
      </c>
      <c r="J52" s="4">
        <f>Table1[[#This Row],[Total Sale]]*0.2</f>
        <v>1653</v>
      </c>
      <c r="K52" s="4" t="s">
        <v>9</v>
      </c>
    </row>
    <row r="53" spans="3:11" x14ac:dyDescent="0.3">
      <c r="C53" s="3">
        <v>45985</v>
      </c>
      <c r="D53" s="3" t="s">
        <v>33</v>
      </c>
      <c r="E53" s="4" t="s">
        <v>11</v>
      </c>
      <c r="F53" s="4" t="s">
        <v>53</v>
      </c>
      <c r="G53" s="4">
        <v>22</v>
      </c>
      <c r="H53" s="4">
        <v>226</v>
      </c>
      <c r="I53" s="4">
        <v>4972</v>
      </c>
      <c r="J53" s="4">
        <f>Table1[[#This Row],[Total Sale]]*0.2</f>
        <v>994.40000000000009</v>
      </c>
      <c r="K53" s="4" t="s">
        <v>22</v>
      </c>
    </row>
    <row r="54" spans="3:11" x14ac:dyDescent="0.3">
      <c r="C54" s="3">
        <v>45985</v>
      </c>
      <c r="D54" s="3" t="s">
        <v>42</v>
      </c>
      <c r="E54" s="4" t="s">
        <v>13</v>
      </c>
      <c r="F54" s="4" t="s">
        <v>64</v>
      </c>
      <c r="G54" s="4">
        <v>35</v>
      </c>
      <c r="H54" s="4">
        <v>452</v>
      </c>
      <c r="I54" s="4">
        <v>15820</v>
      </c>
      <c r="J54" s="4">
        <f>Table1[[#This Row],[Total Sale]]*0.2</f>
        <v>3164</v>
      </c>
      <c r="K54" s="4" t="s">
        <v>21</v>
      </c>
    </row>
    <row r="55" spans="3:11" x14ac:dyDescent="0.3">
      <c r="C55" s="3">
        <v>45985</v>
      </c>
      <c r="D55" s="3" t="s">
        <v>33</v>
      </c>
      <c r="E55" s="4" t="s">
        <v>13</v>
      </c>
      <c r="F55" s="4" t="s">
        <v>55</v>
      </c>
      <c r="G55" s="4">
        <v>37</v>
      </c>
      <c r="H55" s="4">
        <v>241</v>
      </c>
      <c r="I55" s="4">
        <v>8917</v>
      </c>
      <c r="J55" s="4">
        <f>Table1[[#This Row],[Total Sale]]*0.2</f>
        <v>1783.4</v>
      </c>
      <c r="K55" s="4" t="s">
        <v>14</v>
      </c>
    </row>
    <row r="56" spans="3:11" x14ac:dyDescent="0.3">
      <c r="C56" s="3">
        <v>45985</v>
      </c>
      <c r="D56" s="3" t="s">
        <v>50</v>
      </c>
      <c r="E56" s="4" t="s">
        <v>16</v>
      </c>
      <c r="F56" s="4" t="s">
        <v>63</v>
      </c>
      <c r="G56" s="4">
        <v>47</v>
      </c>
      <c r="H56" s="4">
        <v>340</v>
      </c>
      <c r="I56" s="4">
        <v>15980</v>
      </c>
      <c r="J56" s="4">
        <f>Table1[[#This Row],[Total Sale]]*0.2</f>
        <v>3196</v>
      </c>
      <c r="K56" s="4" t="s">
        <v>28</v>
      </c>
    </row>
    <row r="57" spans="3:11" x14ac:dyDescent="0.3">
      <c r="C57" s="3">
        <v>45985</v>
      </c>
      <c r="D57" s="3" t="s">
        <v>38</v>
      </c>
      <c r="E57" s="4" t="s">
        <v>29</v>
      </c>
      <c r="F57" s="4" t="s">
        <v>59</v>
      </c>
      <c r="G57" s="4">
        <v>50</v>
      </c>
      <c r="H57" s="4">
        <v>339</v>
      </c>
      <c r="I57" s="4">
        <v>16950</v>
      </c>
      <c r="J57" s="4">
        <f>Table1[[#This Row],[Total Sale]]*0.2</f>
        <v>3390</v>
      </c>
      <c r="K57" s="4" t="s">
        <v>20</v>
      </c>
    </row>
    <row r="58" spans="3:11" x14ac:dyDescent="0.3">
      <c r="C58" s="3">
        <v>45982</v>
      </c>
      <c r="D58" s="3" t="s">
        <v>31</v>
      </c>
      <c r="E58" s="4" t="s">
        <v>13</v>
      </c>
      <c r="F58" s="4" t="s">
        <v>63</v>
      </c>
      <c r="G58" s="4">
        <v>25</v>
      </c>
      <c r="H58" s="4">
        <v>387</v>
      </c>
      <c r="I58" s="4">
        <v>9675</v>
      </c>
      <c r="J58" s="4">
        <f>Table1[[#This Row],[Total Sale]]*0.2</f>
        <v>1935</v>
      </c>
      <c r="K58" s="4" t="s">
        <v>12</v>
      </c>
    </row>
    <row r="59" spans="3:11" x14ac:dyDescent="0.3">
      <c r="C59" s="3">
        <v>45981</v>
      </c>
      <c r="D59" s="3" t="s">
        <v>35</v>
      </c>
      <c r="E59" s="4" t="s">
        <v>18</v>
      </c>
      <c r="F59" s="4" t="s">
        <v>60</v>
      </c>
      <c r="G59" s="4">
        <v>47</v>
      </c>
      <c r="H59" s="4">
        <v>473</v>
      </c>
      <c r="I59" s="4">
        <v>22231</v>
      </c>
      <c r="J59" s="4">
        <f>Table1[[#This Row],[Total Sale]]*0.2</f>
        <v>4446.2</v>
      </c>
      <c r="K59" s="4" t="s">
        <v>12</v>
      </c>
    </row>
    <row r="60" spans="3:11" x14ac:dyDescent="0.3">
      <c r="C60" s="3">
        <v>45980</v>
      </c>
      <c r="D60" s="3" t="s">
        <v>45</v>
      </c>
      <c r="E60" s="4" t="s">
        <v>6</v>
      </c>
      <c r="F60" s="4" t="s">
        <v>66</v>
      </c>
      <c r="G60" s="4">
        <v>10</v>
      </c>
      <c r="H60" s="4">
        <v>288</v>
      </c>
      <c r="I60" s="4">
        <v>2880</v>
      </c>
      <c r="J60" s="4">
        <f>Table1[[#This Row],[Total Sale]]*0.2</f>
        <v>576</v>
      </c>
      <c r="K60" s="4" t="s">
        <v>8</v>
      </c>
    </row>
    <row r="61" spans="3:11" x14ac:dyDescent="0.3">
      <c r="C61" s="3">
        <v>45979</v>
      </c>
      <c r="D61" s="3" t="s">
        <v>43</v>
      </c>
      <c r="E61" s="4" t="s">
        <v>25</v>
      </c>
      <c r="F61" s="4" t="s">
        <v>56</v>
      </c>
      <c r="G61" s="4">
        <v>21</v>
      </c>
      <c r="H61" s="4">
        <v>413</v>
      </c>
      <c r="I61" s="4">
        <v>8673</v>
      </c>
      <c r="J61" s="4">
        <f>Table1[[#This Row],[Total Sale]]*0.2</f>
        <v>1734.6000000000001</v>
      </c>
      <c r="K61" s="4" t="s">
        <v>15</v>
      </c>
    </row>
    <row r="62" spans="3:11" x14ac:dyDescent="0.3">
      <c r="C62" s="3">
        <v>45978</v>
      </c>
      <c r="D62" s="3" t="s">
        <v>32</v>
      </c>
      <c r="E62" s="4" t="s">
        <v>27</v>
      </c>
      <c r="F62" s="4" t="s">
        <v>55</v>
      </c>
      <c r="G62" s="4">
        <v>20</v>
      </c>
      <c r="H62" s="4">
        <v>391</v>
      </c>
      <c r="I62" s="4">
        <v>7820</v>
      </c>
      <c r="J62" s="4">
        <f>Table1[[#This Row],[Total Sale]]*0.2</f>
        <v>1564</v>
      </c>
      <c r="K62" s="4" t="s">
        <v>7</v>
      </c>
    </row>
    <row r="63" spans="3:11" x14ac:dyDescent="0.3">
      <c r="C63" s="3">
        <v>45978</v>
      </c>
      <c r="D63" s="3" t="s">
        <v>38</v>
      </c>
      <c r="E63" s="4" t="s">
        <v>11</v>
      </c>
      <c r="F63" s="4" t="s">
        <v>61</v>
      </c>
      <c r="G63" s="4">
        <v>11</v>
      </c>
      <c r="H63" s="4">
        <v>366</v>
      </c>
      <c r="I63" s="4">
        <v>4026</v>
      </c>
      <c r="J63" s="4">
        <f>Table1[[#This Row],[Total Sale]]*0.2</f>
        <v>805.2</v>
      </c>
      <c r="K63" s="4" t="s">
        <v>22</v>
      </c>
    </row>
    <row r="64" spans="3:11" x14ac:dyDescent="0.3">
      <c r="C64" s="3">
        <v>45978</v>
      </c>
      <c r="D64" s="3" t="s">
        <v>45</v>
      </c>
      <c r="E64" s="4" t="s">
        <v>6</v>
      </c>
      <c r="F64" s="4" t="s">
        <v>58</v>
      </c>
      <c r="G64" s="4">
        <v>47</v>
      </c>
      <c r="H64" s="4">
        <v>352</v>
      </c>
      <c r="I64" s="4">
        <v>16544</v>
      </c>
      <c r="J64" s="4">
        <f>Table1[[#This Row],[Total Sale]]*0.2</f>
        <v>3308.8</v>
      </c>
      <c r="K64" s="4" t="s">
        <v>14</v>
      </c>
    </row>
    <row r="65" spans="3:11" x14ac:dyDescent="0.3">
      <c r="C65" s="3">
        <v>45977</v>
      </c>
      <c r="D65" s="3" t="s">
        <v>44</v>
      </c>
      <c r="E65" s="4" t="s">
        <v>11</v>
      </c>
      <c r="F65" s="4" t="s">
        <v>57</v>
      </c>
      <c r="G65" s="4">
        <v>25</v>
      </c>
      <c r="H65" s="4">
        <v>239</v>
      </c>
      <c r="I65" s="4">
        <v>5975</v>
      </c>
      <c r="J65" s="4">
        <f>Table1[[#This Row],[Total Sale]]*0.2</f>
        <v>1195</v>
      </c>
      <c r="K65" s="4" t="s">
        <v>21</v>
      </c>
    </row>
    <row r="66" spans="3:11" x14ac:dyDescent="0.3">
      <c r="C66" s="3">
        <v>45977</v>
      </c>
      <c r="D66" s="3" t="s">
        <v>45</v>
      </c>
      <c r="E66" s="4" t="s">
        <v>29</v>
      </c>
      <c r="F66" s="4" t="s">
        <v>56</v>
      </c>
      <c r="G66" s="4">
        <v>41</v>
      </c>
      <c r="H66" s="4">
        <v>316</v>
      </c>
      <c r="I66" s="4">
        <v>12956</v>
      </c>
      <c r="J66" s="4">
        <f>Table1[[#This Row],[Total Sale]]*0.2</f>
        <v>2591.2000000000003</v>
      </c>
      <c r="K66" s="4" t="s">
        <v>17</v>
      </c>
    </row>
    <row r="67" spans="3:11" x14ac:dyDescent="0.3">
      <c r="C67" s="3">
        <v>45976</v>
      </c>
      <c r="D67" s="3" t="s">
        <v>42</v>
      </c>
      <c r="E67" s="4" t="s">
        <v>27</v>
      </c>
      <c r="F67" s="4" t="s">
        <v>61</v>
      </c>
      <c r="G67" s="4">
        <v>36</v>
      </c>
      <c r="H67" s="4">
        <v>201</v>
      </c>
      <c r="I67" s="4">
        <v>7236</v>
      </c>
      <c r="J67" s="4">
        <f>Table1[[#This Row],[Total Sale]]*0.2</f>
        <v>1447.2</v>
      </c>
      <c r="K67" s="4" t="s">
        <v>8</v>
      </c>
    </row>
    <row r="68" spans="3:11" x14ac:dyDescent="0.3">
      <c r="C68" s="3">
        <v>45975</v>
      </c>
      <c r="D68" s="3" t="s">
        <v>35</v>
      </c>
      <c r="E68" s="4" t="s">
        <v>25</v>
      </c>
      <c r="F68" s="4" t="s">
        <v>70</v>
      </c>
      <c r="G68" s="4">
        <v>45</v>
      </c>
      <c r="H68" s="4">
        <v>278</v>
      </c>
      <c r="I68" s="4">
        <v>12510</v>
      </c>
      <c r="J68" s="4">
        <f>Table1[[#This Row],[Total Sale]]*0.2</f>
        <v>2502</v>
      </c>
      <c r="K68" s="4" t="s">
        <v>7</v>
      </c>
    </row>
    <row r="69" spans="3:11" x14ac:dyDescent="0.3">
      <c r="C69" s="3">
        <v>45973</v>
      </c>
      <c r="D69" s="3" t="s">
        <v>39</v>
      </c>
      <c r="E69" s="4" t="s">
        <v>26</v>
      </c>
      <c r="F69" s="4" t="s">
        <v>64</v>
      </c>
      <c r="G69" s="4">
        <v>46</v>
      </c>
      <c r="H69" s="4">
        <v>441</v>
      </c>
      <c r="I69" s="4">
        <v>20286</v>
      </c>
      <c r="J69" s="4">
        <f>Table1[[#This Row],[Total Sale]]*0.2</f>
        <v>4057.2000000000003</v>
      </c>
      <c r="K69" s="4" t="s">
        <v>21</v>
      </c>
    </row>
    <row r="70" spans="3:11" x14ac:dyDescent="0.3">
      <c r="C70" s="3">
        <v>45973</v>
      </c>
      <c r="D70" s="3" t="s">
        <v>36</v>
      </c>
      <c r="E70" s="4" t="s">
        <v>10</v>
      </c>
      <c r="F70" s="4" t="s">
        <v>67</v>
      </c>
      <c r="G70" s="4">
        <v>31</v>
      </c>
      <c r="H70" s="4">
        <v>468</v>
      </c>
      <c r="I70" s="4">
        <v>14508</v>
      </c>
      <c r="J70" s="4">
        <f>Table1[[#This Row],[Total Sale]]*0.2</f>
        <v>2901.6000000000004</v>
      </c>
      <c r="K70" s="4" t="s">
        <v>15</v>
      </c>
    </row>
    <row r="71" spans="3:11" x14ac:dyDescent="0.3">
      <c r="C71" s="3">
        <v>45973</v>
      </c>
      <c r="D71" s="3" t="s">
        <v>46</v>
      </c>
      <c r="E71" s="4" t="s">
        <v>13</v>
      </c>
      <c r="F71" s="4" t="s">
        <v>60</v>
      </c>
      <c r="G71" s="4">
        <v>12</v>
      </c>
      <c r="H71" s="4">
        <v>428</v>
      </c>
      <c r="I71" s="4">
        <v>5136</v>
      </c>
      <c r="J71" s="4">
        <f>Table1[[#This Row],[Total Sale]]*0.2</f>
        <v>1027.2</v>
      </c>
      <c r="K71" s="4" t="s">
        <v>22</v>
      </c>
    </row>
    <row r="72" spans="3:11" x14ac:dyDescent="0.3">
      <c r="C72" s="3">
        <v>45973</v>
      </c>
      <c r="D72" s="3" t="s">
        <v>41</v>
      </c>
      <c r="E72" s="4" t="s">
        <v>16</v>
      </c>
      <c r="F72" s="4" t="s">
        <v>57</v>
      </c>
      <c r="G72" s="4">
        <v>18</v>
      </c>
      <c r="H72" s="4">
        <v>487</v>
      </c>
      <c r="I72" s="4">
        <v>8766</v>
      </c>
      <c r="J72" s="4">
        <f>Table1[[#This Row],[Total Sale]]*0.2</f>
        <v>1753.2</v>
      </c>
      <c r="K72" s="4" t="s">
        <v>17</v>
      </c>
    </row>
    <row r="73" spans="3:11" x14ac:dyDescent="0.3">
      <c r="C73" s="3">
        <v>45972</v>
      </c>
      <c r="D73" s="3" t="s">
        <v>40</v>
      </c>
      <c r="E73" s="4" t="s">
        <v>6</v>
      </c>
      <c r="F73" s="4" t="s">
        <v>57</v>
      </c>
      <c r="G73" s="4">
        <v>17</v>
      </c>
      <c r="H73" s="4">
        <v>458</v>
      </c>
      <c r="I73" s="4">
        <v>7786</v>
      </c>
      <c r="J73" s="4">
        <f>Table1[[#This Row],[Total Sale]]*0.2</f>
        <v>1557.2</v>
      </c>
      <c r="K73" s="4" t="s">
        <v>20</v>
      </c>
    </row>
    <row r="74" spans="3:11" x14ac:dyDescent="0.3">
      <c r="C74" s="3">
        <v>45972</v>
      </c>
      <c r="D74" s="3" t="s">
        <v>46</v>
      </c>
      <c r="E74" s="4" t="s">
        <v>6</v>
      </c>
      <c r="F74" s="4" t="s">
        <v>58</v>
      </c>
      <c r="G74" s="4">
        <v>18</v>
      </c>
      <c r="H74" s="4">
        <v>343</v>
      </c>
      <c r="I74" s="4">
        <v>6174</v>
      </c>
      <c r="J74" s="4">
        <f>Table1[[#This Row],[Total Sale]]*0.2</f>
        <v>1234.8000000000002</v>
      </c>
      <c r="K74" s="4" t="s">
        <v>20</v>
      </c>
    </row>
    <row r="75" spans="3:11" x14ac:dyDescent="0.3">
      <c r="C75" s="3">
        <v>45972</v>
      </c>
      <c r="D75" s="3" t="s">
        <v>45</v>
      </c>
      <c r="E75" s="4" t="s">
        <v>16</v>
      </c>
      <c r="F75" s="4" t="s">
        <v>61</v>
      </c>
      <c r="G75" s="4">
        <v>17</v>
      </c>
      <c r="H75" s="4">
        <v>239</v>
      </c>
      <c r="I75" s="4">
        <v>4063</v>
      </c>
      <c r="J75" s="4">
        <f>Table1[[#This Row],[Total Sale]]*0.2</f>
        <v>812.6</v>
      </c>
      <c r="K75" s="4" t="s">
        <v>12</v>
      </c>
    </row>
    <row r="76" spans="3:11" x14ac:dyDescent="0.3">
      <c r="C76" s="3">
        <v>45970</v>
      </c>
      <c r="D76" s="3" t="s">
        <v>48</v>
      </c>
      <c r="E76" s="4" t="s">
        <v>26</v>
      </c>
      <c r="F76" s="4" t="s">
        <v>69</v>
      </c>
      <c r="G76" s="4">
        <v>16</v>
      </c>
      <c r="H76" s="4">
        <v>236</v>
      </c>
      <c r="I76" s="4">
        <v>3776</v>
      </c>
      <c r="J76" s="4">
        <f>Table1[[#This Row],[Total Sale]]*0.2</f>
        <v>755.2</v>
      </c>
      <c r="K76" s="4" t="s">
        <v>19</v>
      </c>
    </row>
    <row r="77" spans="3:11" x14ac:dyDescent="0.3">
      <c r="C77" s="3">
        <v>45970</v>
      </c>
      <c r="D77" s="3" t="s">
        <v>34</v>
      </c>
      <c r="E77" s="4" t="s">
        <v>29</v>
      </c>
      <c r="F77" s="4" t="s">
        <v>64</v>
      </c>
      <c r="G77" s="4">
        <v>33</v>
      </c>
      <c r="H77" s="4">
        <v>304</v>
      </c>
      <c r="I77" s="4">
        <v>10032</v>
      </c>
      <c r="J77" s="4">
        <f>Table1[[#This Row],[Total Sale]]*0.2</f>
        <v>2006.4</v>
      </c>
      <c r="K77" s="4" t="s">
        <v>21</v>
      </c>
    </row>
    <row r="78" spans="3:11" x14ac:dyDescent="0.3">
      <c r="C78" s="3">
        <v>45969</v>
      </c>
      <c r="D78" s="3" t="s">
        <v>33</v>
      </c>
      <c r="E78" s="4" t="s">
        <v>10</v>
      </c>
      <c r="F78" s="4" t="s">
        <v>68</v>
      </c>
      <c r="G78" s="4">
        <v>27</v>
      </c>
      <c r="H78" s="4">
        <v>247</v>
      </c>
      <c r="I78" s="4">
        <v>6669</v>
      </c>
      <c r="J78" s="4">
        <f>Table1[[#This Row],[Total Sale]]*0.2</f>
        <v>1333.8000000000002</v>
      </c>
      <c r="K78" s="4" t="s">
        <v>28</v>
      </c>
    </row>
    <row r="79" spans="3:11" x14ac:dyDescent="0.3">
      <c r="C79" s="3">
        <v>45969</v>
      </c>
      <c r="D79" s="3" t="s">
        <v>43</v>
      </c>
      <c r="E79" s="4" t="s">
        <v>18</v>
      </c>
      <c r="F79" s="4" t="s">
        <v>55</v>
      </c>
      <c r="G79" s="4">
        <v>28</v>
      </c>
      <c r="H79" s="4">
        <v>360</v>
      </c>
      <c r="I79" s="4">
        <v>10080</v>
      </c>
      <c r="J79" s="4">
        <f>Table1[[#This Row],[Total Sale]]*0.2</f>
        <v>2016</v>
      </c>
      <c r="K79" s="4" t="s">
        <v>14</v>
      </c>
    </row>
    <row r="80" spans="3:11" x14ac:dyDescent="0.3">
      <c r="C80" s="3">
        <v>45967</v>
      </c>
      <c r="D80" s="3" t="s">
        <v>31</v>
      </c>
      <c r="E80" s="4" t="s">
        <v>29</v>
      </c>
      <c r="F80" s="4" t="s">
        <v>57</v>
      </c>
      <c r="G80" s="4">
        <v>25</v>
      </c>
      <c r="H80" s="4">
        <v>477</v>
      </c>
      <c r="I80" s="4">
        <v>11925</v>
      </c>
      <c r="J80" s="4">
        <f>Table1[[#This Row],[Total Sale]]*0.2</f>
        <v>2385</v>
      </c>
      <c r="K80" s="4" t="s">
        <v>15</v>
      </c>
    </row>
    <row r="81" spans="3:11" x14ac:dyDescent="0.3">
      <c r="C81" s="3">
        <v>45964</v>
      </c>
      <c r="D81" s="3" t="s">
        <v>31</v>
      </c>
      <c r="E81" s="4" t="s">
        <v>27</v>
      </c>
      <c r="F81" s="4" t="s">
        <v>58</v>
      </c>
      <c r="G81" s="4">
        <v>10</v>
      </c>
      <c r="H81" s="4">
        <v>493</v>
      </c>
      <c r="I81" s="4">
        <v>4930</v>
      </c>
      <c r="J81" s="4">
        <f>Table1[[#This Row],[Total Sale]]*0.2</f>
        <v>986</v>
      </c>
      <c r="K81" s="4" t="s">
        <v>22</v>
      </c>
    </row>
    <row r="82" spans="3:11" x14ac:dyDescent="0.3">
      <c r="C82" s="3">
        <v>45964</v>
      </c>
      <c r="D82" s="3" t="s">
        <v>33</v>
      </c>
      <c r="E82" s="4" t="s">
        <v>25</v>
      </c>
      <c r="F82" s="4" t="s">
        <v>62</v>
      </c>
      <c r="G82" s="4">
        <v>13</v>
      </c>
      <c r="H82" s="4">
        <v>238</v>
      </c>
      <c r="I82" s="4">
        <v>3094</v>
      </c>
      <c r="J82" s="4">
        <f>Table1[[#This Row],[Total Sale]]*0.2</f>
        <v>618.80000000000007</v>
      </c>
      <c r="K82" s="4" t="s">
        <v>23</v>
      </c>
    </row>
    <row r="83" spans="3:11" x14ac:dyDescent="0.3">
      <c r="C83" s="3">
        <v>45964</v>
      </c>
      <c r="D83" s="3" t="s">
        <v>31</v>
      </c>
      <c r="E83" s="4" t="s">
        <v>6</v>
      </c>
      <c r="F83" s="4" t="s">
        <v>69</v>
      </c>
      <c r="G83" s="4">
        <v>46</v>
      </c>
      <c r="H83" s="4">
        <v>241</v>
      </c>
      <c r="I83" s="4">
        <v>11086</v>
      </c>
      <c r="J83" s="4">
        <f>Table1[[#This Row],[Total Sale]]*0.2</f>
        <v>2217.2000000000003</v>
      </c>
      <c r="K83" s="4" t="s">
        <v>9</v>
      </c>
    </row>
    <row r="84" spans="3:11" x14ac:dyDescent="0.3">
      <c r="C84" s="3">
        <v>45963</v>
      </c>
      <c r="D84" s="3" t="s">
        <v>46</v>
      </c>
      <c r="E84" s="4" t="s">
        <v>27</v>
      </c>
      <c r="F84" s="4" t="s">
        <v>62</v>
      </c>
      <c r="G84" s="4">
        <v>36</v>
      </c>
      <c r="H84" s="4">
        <v>412</v>
      </c>
      <c r="I84" s="4">
        <v>14832</v>
      </c>
      <c r="J84" s="4">
        <f>Table1[[#This Row],[Total Sale]]*0.2</f>
        <v>2966.4</v>
      </c>
      <c r="K84" s="4" t="s">
        <v>24</v>
      </c>
    </row>
    <row r="85" spans="3:11" x14ac:dyDescent="0.3">
      <c r="C85" s="3">
        <v>45963</v>
      </c>
      <c r="D85" s="3" t="s">
        <v>46</v>
      </c>
      <c r="E85" s="4" t="s">
        <v>11</v>
      </c>
      <c r="F85" s="4" t="s">
        <v>57</v>
      </c>
      <c r="G85" s="4">
        <v>19</v>
      </c>
      <c r="H85" s="4">
        <v>253</v>
      </c>
      <c r="I85" s="4">
        <v>4807</v>
      </c>
      <c r="J85" s="4">
        <f>Table1[[#This Row],[Total Sale]]*0.2</f>
        <v>961.40000000000009</v>
      </c>
      <c r="K85" s="4" t="s">
        <v>8</v>
      </c>
    </row>
    <row r="86" spans="3:11" x14ac:dyDescent="0.3">
      <c r="C86" s="3">
        <v>45962</v>
      </c>
      <c r="D86" s="3" t="s">
        <v>31</v>
      </c>
      <c r="E86" s="4" t="s">
        <v>26</v>
      </c>
      <c r="F86" s="4" t="s">
        <v>58</v>
      </c>
      <c r="G86" s="4">
        <v>10</v>
      </c>
      <c r="H86" s="4">
        <v>413</v>
      </c>
      <c r="I86" s="4">
        <v>4130</v>
      </c>
      <c r="J86" s="4">
        <f>Table1[[#This Row],[Total Sale]]*0.2</f>
        <v>826</v>
      </c>
      <c r="K86" s="4" t="s">
        <v>9</v>
      </c>
    </row>
    <row r="87" spans="3:11" x14ac:dyDescent="0.3">
      <c r="C87" s="3">
        <v>45962</v>
      </c>
      <c r="D87" s="3" t="s">
        <v>35</v>
      </c>
      <c r="E87" s="4" t="s">
        <v>11</v>
      </c>
      <c r="F87" s="4" t="s">
        <v>54</v>
      </c>
      <c r="G87" s="4">
        <v>11</v>
      </c>
      <c r="H87" s="4">
        <v>368</v>
      </c>
      <c r="I87" s="4">
        <v>4048</v>
      </c>
      <c r="J87" s="4">
        <f>Table1[[#This Row],[Total Sale]]*0.2</f>
        <v>809.6</v>
      </c>
      <c r="K87" s="4" t="s">
        <v>14</v>
      </c>
    </row>
    <row r="88" spans="3:11" x14ac:dyDescent="0.3">
      <c r="C88" s="3">
        <v>45962</v>
      </c>
      <c r="D88" s="3" t="s">
        <v>36</v>
      </c>
      <c r="E88" s="4" t="s">
        <v>13</v>
      </c>
      <c r="F88" s="4" t="s">
        <v>59</v>
      </c>
      <c r="G88" s="4">
        <v>14</v>
      </c>
      <c r="H88" s="4">
        <v>223</v>
      </c>
      <c r="I88" s="4">
        <v>3122</v>
      </c>
      <c r="J88" s="4">
        <f>Table1[[#This Row],[Total Sale]]*0.2</f>
        <v>624.40000000000009</v>
      </c>
      <c r="K88" s="4" t="s">
        <v>19</v>
      </c>
    </row>
    <row r="89" spans="3:11" x14ac:dyDescent="0.3">
      <c r="C89" s="3">
        <v>45960</v>
      </c>
      <c r="D89" s="3" t="s">
        <v>36</v>
      </c>
      <c r="E89" s="4" t="s">
        <v>25</v>
      </c>
      <c r="F89" s="4" t="s">
        <v>61</v>
      </c>
      <c r="G89" s="4">
        <v>33</v>
      </c>
      <c r="H89" s="4">
        <v>364</v>
      </c>
      <c r="I89" s="4">
        <v>12012</v>
      </c>
      <c r="J89" s="4">
        <f>Table1[[#This Row],[Total Sale]]*0.2</f>
        <v>2402.4</v>
      </c>
      <c r="K89" s="4" t="s">
        <v>9</v>
      </c>
    </row>
    <row r="90" spans="3:11" x14ac:dyDescent="0.3">
      <c r="C90" s="3">
        <v>45960</v>
      </c>
      <c r="D90" s="3" t="s">
        <v>48</v>
      </c>
      <c r="E90" s="4" t="s">
        <v>25</v>
      </c>
      <c r="F90" s="4" t="s">
        <v>54</v>
      </c>
      <c r="G90" s="4">
        <v>29</v>
      </c>
      <c r="H90" s="4">
        <v>247</v>
      </c>
      <c r="I90" s="4">
        <v>7163</v>
      </c>
      <c r="J90" s="4">
        <f>Table1[[#This Row],[Total Sale]]*0.2</f>
        <v>1432.6000000000001</v>
      </c>
      <c r="K90" s="4" t="s">
        <v>20</v>
      </c>
    </row>
    <row r="91" spans="3:11" x14ac:dyDescent="0.3">
      <c r="C91" s="3">
        <v>45958</v>
      </c>
      <c r="D91" s="3" t="s">
        <v>37</v>
      </c>
      <c r="E91" s="4" t="s">
        <v>18</v>
      </c>
      <c r="F91" s="4" t="s">
        <v>64</v>
      </c>
      <c r="G91" s="4">
        <v>17</v>
      </c>
      <c r="H91" s="4">
        <v>312</v>
      </c>
      <c r="I91" s="4">
        <v>5304</v>
      </c>
      <c r="J91" s="4">
        <f>Table1[[#This Row],[Total Sale]]*0.2</f>
        <v>1060.8</v>
      </c>
      <c r="K91" s="4" t="s">
        <v>19</v>
      </c>
    </row>
    <row r="92" spans="3:11" x14ac:dyDescent="0.3">
      <c r="C92" s="3">
        <v>45957</v>
      </c>
      <c r="D92" s="3" t="s">
        <v>35</v>
      </c>
      <c r="E92" s="4" t="s">
        <v>25</v>
      </c>
      <c r="F92" s="4" t="s">
        <v>56</v>
      </c>
      <c r="G92" s="4">
        <v>11</v>
      </c>
      <c r="H92" s="4">
        <v>239</v>
      </c>
      <c r="I92" s="4">
        <v>2629</v>
      </c>
      <c r="J92" s="4">
        <f>Table1[[#This Row],[Total Sale]]*0.2</f>
        <v>525.80000000000007</v>
      </c>
      <c r="K92" s="4" t="s">
        <v>17</v>
      </c>
    </row>
    <row r="93" spans="3:11" x14ac:dyDescent="0.3">
      <c r="C93" s="3">
        <v>45957</v>
      </c>
      <c r="D93" s="3" t="s">
        <v>34</v>
      </c>
      <c r="E93" s="4" t="s">
        <v>13</v>
      </c>
      <c r="F93" s="4" t="s">
        <v>65</v>
      </c>
      <c r="G93" s="4">
        <v>41</v>
      </c>
      <c r="H93" s="4">
        <v>415</v>
      </c>
      <c r="I93" s="4">
        <v>17015</v>
      </c>
      <c r="J93" s="4">
        <f>Table1[[#This Row],[Total Sale]]*0.2</f>
        <v>3403</v>
      </c>
      <c r="K93" s="4" t="s">
        <v>21</v>
      </c>
    </row>
    <row r="94" spans="3:11" x14ac:dyDescent="0.3">
      <c r="C94" s="3">
        <v>45957</v>
      </c>
      <c r="D94" s="3" t="s">
        <v>44</v>
      </c>
      <c r="E94" s="4" t="s">
        <v>6</v>
      </c>
      <c r="F94" s="4" t="s">
        <v>67</v>
      </c>
      <c r="G94" s="4">
        <v>18</v>
      </c>
      <c r="H94" s="4">
        <v>447</v>
      </c>
      <c r="I94" s="4">
        <v>8046</v>
      </c>
      <c r="J94" s="4">
        <f>Table1[[#This Row],[Total Sale]]*0.2</f>
        <v>1609.2</v>
      </c>
      <c r="K94" s="4" t="s">
        <v>22</v>
      </c>
    </row>
    <row r="95" spans="3:11" x14ac:dyDescent="0.3">
      <c r="C95" s="3">
        <v>45956</v>
      </c>
      <c r="D95" s="3" t="s">
        <v>50</v>
      </c>
      <c r="E95" s="4" t="s">
        <v>13</v>
      </c>
      <c r="F95" s="4" t="s">
        <v>54</v>
      </c>
      <c r="G95" s="4">
        <v>43</v>
      </c>
      <c r="H95" s="4">
        <v>359</v>
      </c>
      <c r="I95" s="4">
        <v>15437</v>
      </c>
      <c r="J95" s="4">
        <f>Table1[[#This Row],[Total Sale]]*0.2</f>
        <v>3087.4</v>
      </c>
      <c r="K95" s="4" t="s">
        <v>17</v>
      </c>
    </row>
    <row r="96" spans="3:11" x14ac:dyDescent="0.3">
      <c r="C96" s="3">
        <v>45956</v>
      </c>
      <c r="D96" s="3" t="s">
        <v>45</v>
      </c>
      <c r="E96" s="4" t="s">
        <v>6</v>
      </c>
      <c r="F96" s="4" t="s">
        <v>52</v>
      </c>
      <c r="G96" s="4">
        <v>35</v>
      </c>
      <c r="H96" s="4">
        <v>397</v>
      </c>
      <c r="I96" s="4">
        <v>13895</v>
      </c>
      <c r="J96" s="4">
        <f>Table1[[#This Row],[Total Sale]]*0.2</f>
        <v>2779</v>
      </c>
      <c r="K96" s="4" t="s">
        <v>20</v>
      </c>
    </row>
    <row r="97" spans="3:11" x14ac:dyDescent="0.3">
      <c r="C97" s="3">
        <v>45956</v>
      </c>
      <c r="D97" s="3" t="s">
        <v>47</v>
      </c>
      <c r="E97" s="4" t="s">
        <v>16</v>
      </c>
      <c r="F97" s="4" t="s">
        <v>68</v>
      </c>
      <c r="G97" s="4">
        <v>23</v>
      </c>
      <c r="H97" s="4">
        <v>337</v>
      </c>
      <c r="I97" s="4">
        <v>7751</v>
      </c>
      <c r="J97" s="4">
        <f>Table1[[#This Row],[Total Sale]]*0.2</f>
        <v>1550.2</v>
      </c>
      <c r="K97" s="4" t="s">
        <v>7</v>
      </c>
    </row>
    <row r="98" spans="3:11" x14ac:dyDescent="0.3">
      <c r="C98" s="3">
        <v>45955</v>
      </c>
      <c r="D98" s="3" t="s">
        <v>36</v>
      </c>
      <c r="E98" s="4" t="s">
        <v>25</v>
      </c>
      <c r="F98" s="4" t="s">
        <v>55</v>
      </c>
      <c r="G98" s="4">
        <v>22</v>
      </c>
      <c r="H98" s="4">
        <v>324</v>
      </c>
      <c r="I98" s="4">
        <v>7128</v>
      </c>
      <c r="J98" s="4">
        <f>Table1[[#This Row],[Total Sale]]*0.2</f>
        <v>1425.6000000000001</v>
      </c>
      <c r="K98" s="4" t="s">
        <v>15</v>
      </c>
    </row>
    <row r="99" spans="3:11" x14ac:dyDescent="0.3">
      <c r="C99" s="3">
        <v>45955</v>
      </c>
      <c r="D99" s="3" t="s">
        <v>34</v>
      </c>
      <c r="E99" s="4" t="s">
        <v>11</v>
      </c>
      <c r="F99" s="4" t="s">
        <v>70</v>
      </c>
      <c r="G99" s="4">
        <v>16</v>
      </c>
      <c r="H99" s="4">
        <v>482</v>
      </c>
      <c r="I99" s="4">
        <v>7712</v>
      </c>
      <c r="J99" s="4">
        <f>Table1[[#This Row],[Total Sale]]*0.2</f>
        <v>1542.4</v>
      </c>
      <c r="K99" s="4" t="s">
        <v>14</v>
      </c>
    </row>
    <row r="100" spans="3:11" x14ac:dyDescent="0.3">
      <c r="C100" s="3">
        <v>45951</v>
      </c>
      <c r="D100" s="3" t="s">
        <v>46</v>
      </c>
      <c r="E100" s="4" t="s">
        <v>18</v>
      </c>
      <c r="F100" s="4" t="s">
        <v>53</v>
      </c>
      <c r="G100" s="4">
        <v>14</v>
      </c>
      <c r="H100" s="4">
        <v>404</v>
      </c>
      <c r="I100" s="4">
        <v>5656</v>
      </c>
      <c r="J100" s="4">
        <f>Table1[[#This Row],[Total Sale]]*0.2</f>
        <v>1131.2</v>
      </c>
      <c r="K100" s="4" t="s">
        <v>15</v>
      </c>
    </row>
    <row r="101" spans="3:11" x14ac:dyDescent="0.3">
      <c r="C101" s="3">
        <v>45951</v>
      </c>
      <c r="D101" s="3" t="s">
        <v>42</v>
      </c>
      <c r="E101" s="4" t="s">
        <v>18</v>
      </c>
      <c r="F101" s="4" t="s">
        <v>66</v>
      </c>
      <c r="G101" s="4">
        <v>20</v>
      </c>
      <c r="H101" s="4">
        <v>312</v>
      </c>
      <c r="I101" s="4">
        <v>6240</v>
      </c>
      <c r="J101" s="4">
        <f>Table1[[#This Row],[Total Sale]]*0.2</f>
        <v>1248</v>
      </c>
      <c r="K101" s="4" t="s">
        <v>23</v>
      </c>
    </row>
    <row r="102" spans="3:11" x14ac:dyDescent="0.3">
      <c r="C102" s="3">
        <v>45950</v>
      </c>
      <c r="D102" s="3" t="s">
        <v>48</v>
      </c>
      <c r="E102" s="4" t="s">
        <v>26</v>
      </c>
      <c r="F102" s="4" t="s">
        <v>68</v>
      </c>
      <c r="G102" s="4">
        <v>40</v>
      </c>
      <c r="H102" s="4">
        <v>488</v>
      </c>
      <c r="I102" s="4">
        <v>19520</v>
      </c>
      <c r="J102" s="4">
        <f>Table1[[#This Row],[Total Sale]]*0.2</f>
        <v>3904</v>
      </c>
      <c r="K102" s="4" t="s">
        <v>22</v>
      </c>
    </row>
    <row r="103" spans="3:11" x14ac:dyDescent="0.3">
      <c r="C103" s="3">
        <v>45950</v>
      </c>
      <c r="D103" s="3" t="s">
        <v>37</v>
      </c>
      <c r="E103" s="4" t="s">
        <v>11</v>
      </c>
      <c r="F103" s="4" t="s">
        <v>52</v>
      </c>
      <c r="G103" s="4">
        <v>14</v>
      </c>
      <c r="H103" s="4">
        <v>496</v>
      </c>
      <c r="I103" s="4">
        <v>6944</v>
      </c>
      <c r="J103" s="4">
        <f>Table1[[#This Row],[Total Sale]]*0.2</f>
        <v>1388.8000000000002</v>
      </c>
      <c r="K103" s="4" t="s">
        <v>19</v>
      </c>
    </row>
    <row r="104" spans="3:11" x14ac:dyDescent="0.3">
      <c r="C104" s="3">
        <v>45949</v>
      </c>
      <c r="D104" s="3" t="s">
        <v>34</v>
      </c>
      <c r="E104" s="4" t="s">
        <v>6</v>
      </c>
      <c r="F104" s="4" t="s">
        <v>62</v>
      </c>
      <c r="G104" s="4">
        <v>26</v>
      </c>
      <c r="H104" s="4">
        <v>430</v>
      </c>
      <c r="I104" s="4">
        <v>11180</v>
      </c>
      <c r="J104" s="4">
        <f>Table1[[#This Row],[Total Sale]]*0.2</f>
        <v>2236</v>
      </c>
      <c r="K104" s="4" t="s">
        <v>21</v>
      </c>
    </row>
    <row r="105" spans="3:11" x14ac:dyDescent="0.3">
      <c r="C105" s="3">
        <v>45949</v>
      </c>
      <c r="D105" s="3" t="s">
        <v>43</v>
      </c>
      <c r="E105" s="4" t="s">
        <v>16</v>
      </c>
      <c r="F105" s="4" t="s">
        <v>57</v>
      </c>
      <c r="G105" s="4">
        <v>44</v>
      </c>
      <c r="H105" s="4">
        <v>364</v>
      </c>
      <c r="I105" s="4">
        <v>16016</v>
      </c>
      <c r="J105" s="4">
        <f>Table1[[#This Row],[Total Sale]]*0.2</f>
        <v>3203.2000000000003</v>
      </c>
      <c r="K105" s="4" t="s">
        <v>21</v>
      </c>
    </row>
    <row r="106" spans="3:11" x14ac:dyDescent="0.3">
      <c r="C106" s="3">
        <v>45948</v>
      </c>
      <c r="D106" s="3" t="s">
        <v>49</v>
      </c>
      <c r="E106" s="4" t="s">
        <v>10</v>
      </c>
      <c r="F106" s="4" t="s">
        <v>52</v>
      </c>
      <c r="G106" s="4">
        <v>50</v>
      </c>
      <c r="H106" s="4">
        <v>435</v>
      </c>
      <c r="I106" s="4">
        <v>21750</v>
      </c>
      <c r="J106" s="4">
        <f>Table1[[#This Row],[Total Sale]]*0.2</f>
        <v>4350</v>
      </c>
      <c r="K106" s="4" t="s">
        <v>24</v>
      </c>
    </row>
    <row r="107" spans="3:11" x14ac:dyDescent="0.3">
      <c r="C107" s="3">
        <v>45947</v>
      </c>
      <c r="D107" s="3" t="s">
        <v>45</v>
      </c>
      <c r="E107" s="4" t="s">
        <v>10</v>
      </c>
      <c r="F107" s="4" t="s">
        <v>59</v>
      </c>
      <c r="G107" s="4">
        <v>10</v>
      </c>
      <c r="H107" s="4">
        <v>362</v>
      </c>
      <c r="I107" s="4">
        <v>3620</v>
      </c>
      <c r="J107" s="4">
        <f>Table1[[#This Row],[Total Sale]]*0.2</f>
        <v>724</v>
      </c>
      <c r="K107" s="4" t="s">
        <v>24</v>
      </c>
    </row>
    <row r="108" spans="3:11" x14ac:dyDescent="0.3">
      <c r="C108" s="3">
        <v>45947</v>
      </c>
      <c r="D108" s="3" t="s">
        <v>32</v>
      </c>
      <c r="E108" s="4" t="s">
        <v>13</v>
      </c>
      <c r="F108" s="4" t="s">
        <v>61</v>
      </c>
      <c r="G108" s="4">
        <v>35</v>
      </c>
      <c r="H108" s="4">
        <v>384</v>
      </c>
      <c r="I108" s="4">
        <v>13440</v>
      </c>
      <c r="J108" s="4">
        <f>Table1[[#This Row],[Total Sale]]*0.2</f>
        <v>2688</v>
      </c>
      <c r="K108" s="4" t="s">
        <v>23</v>
      </c>
    </row>
    <row r="109" spans="3:11" x14ac:dyDescent="0.3">
      <c r="C109" s="3">
        <v>45947</v>
      </c>
      <c r="D109" s="3" t="s">
        <v>38</v>
      </c>
      <c r="E109" s="4" t="s">
        <v>13</v>
      </c>
      <c r="F109" s="4" t="s">
        <v>61</v>
      </c>
      <c r="G109" s="4">
        <v>23</v>
      </c>
      <c r="H109" s="4">
        <v>372</v>
      </c>
      <c r="I109" s="4">
        <v>8556</v>
      </c>
      <c r="J109" s="4">
        <f>Table1[[#This Row],[Total Sale]]*0.2</f>
        <v>1711.2</v>
      </c>
      <c r="K109" s="4" t="s">
        <v>17</v>
      </c>
    </row>
    <row r="110" spans="3:11" x14ac:dyDescent="0.3">
      <c r="C110" s="3">
        <v>45947</v>
      </c>
      <c r="D110" s="3" t="s">
        <v>49</v>
      </c>
      <c r="E110" s="4" t="s">
        <v>16</v>
      </c>
      <c r="F110" s="4" t="s">
        <v>55</v>
      </c>
      <c r="G110" s="4">
        <v>39</v>
      </c>
      <c r="H110" s="4">
        <v>392</v>
      </c>
      <c r="I110" s="4">
        <v>15288</v>
      </c>
      <c r="J110" s="4">
        <f>Table1[[#This Row],[Total Sale]]*0.2</f>
        <v>3057.6000000000004</v>
      </c>
      <c r="K110" s="4" t="s">
        <v>17</v>
      </c>
    </row>
    <row r="111" spans="3:11" x14ac:dyDescent="0.3">
      <c r="C111" s="3">
        <v>45947</v>
      </c>
      <c r="D111" s="3" t="s">
        <v>38</v>
      </c>
      <c r="E111" s="4" t="s">
        <v>29</v>
      </c>
      <c r="F111" s="4" t="s">
        <v>59</v>
      </c>
      <c r="G111" s="4">
        <v>21</v>
      </c>
      <c r="H111" s="4">
        <v>248</v>
      </c>
      <c r="I111" s="4">
        <v>5208</v>
      </c>
      <c r="J111" s="4">
        <f>Table1[[#This Row],[Total Sale]]*0.2</f>
        <v>1041.6000000000001</v>
      </c>
      <c r="K111" s="4" t="s">
        <v>19</v>
      </c>
    </row>
    <row r="112" spans="3:11" x14ac:dyDescent="0.3">
      <c r="C112" s="3">
        <v>45946</v>
      </c>
      <c r="D112" s="3" t="s">
        <v>48</v>
      </c>
      <c r="E112" s="4" t="s">
        <v>27</v>
      </c>
      <c r="F112" s="4" t="s">
        <v>68</v>
      </c>
      <c r="G112" s="4">
        <v>32</v>
      </c>
      <c r="H112" s="4">
        <v>398</v>
      </c>
      <c r="I112" s="4">
        <v>12736</v>
      </c>
      <c r="J112" s="4">
        <f>Table1[[#This Row],[Total Sale]]*0.2</f>
        <v>2547.2000000000003</v>
      </c>
      <c r="K112" s="4" t="s">
        <v>19</v>
      </c>
    </row>
    <row r="113" spans="3:11" x14ac:dyDescent="0.3">
      <c r="C113" s="3">
        <v>45946</v>
      </c>
      <c r="D113" s="3" t="s">
        <v>37</v>
      </c>
      <c r="E113" s="4" t="s">
        <v>18</v>
      </c>
      <c r="F113" s="4" t="s">
        <v>65</v>
      </c>
      <c r="G113" s="4">
        <v>15</v>
      </c>
      <c r="H113" s="4">
        <v>496</v>
      </c>
      <c r="I113" s="4">
        <v>7440</v>
      </c>
      <c r="J113" s="4">
        <f>Table1[[#This Row],[Total Sale]]*0.2</f>
        <v>1488</v>
      </c>
      <c r="K113" s="4" t="s">
        <v>19</v>
      </c>
    </row>
    <row r="114" spans="3:11" x14ac:dyDescent="0.3">
      <c r="C114" s="3">
        <v>45946</v>
      </c>
      <c r="D114" s="3" t="s">
        <v>41</v>
      </c>
      <c r="E114" s="4" t="s">
        <v>16</v>
      </c>
      <c r="F114" s="4" t="s">
        <v>57</v>
      </c>
      <c r="G114" s="4">
        <v>45</v>
      </c>
      <c r="H114" s="4">
        <v>262</v>
      </c>
      <c r="I114" s="4">
        <v>11790</v>
      </c>
      <c r="J114" s="4">
        <f>Table1[[#This Row],[Total Sale]]*0.2</f>
        <v>2358</v>
      </c>
      <c r="K114" s="4" t="s">
        <v>21</v>
      </c>
    </row>
    <row r="115" spans="3:11" x14ac:dyDescent="0.3">
      <c r="C115" s="3">
        <v>45945</v>
      </c>
      <c r="D115" s="3" t="s">
        <v>39</v>
      </c>
      <c r="E115" s="4" t="s">
        <v>13</v>
      </c>
      <c r="F115" s="4" t="s">
        <v>56</v>
      </c>
      <c r="G115" s="4">
        <v>19</v>
      </c>
      <c r="H115" s="4">
        <v>495</v>
      </c>
      <c r="I115" s="4">
        <v>9405</v>
      </c>
      <c r="J115" s="4">
        <f>Table1[[#This Row],[Total Sale]]*0.2</f>
        <v>1881</v>
      </c>
      <c r="K115" s="4" t="s">
        <v>28</v>
      </c>
    </row>
    <row r="116" spans="3:11" x14ac:dyDescent="0.3">
      <c r="C116" s="3">
        <v>45944</v>
      </c>
      <c r="D116" s="3" t="s">
        <v>32</v>
      </c>
      <c r="E116" s="4" t="s">
        <v>26</v>
      </c>
      <c r="F116" s="4" t="s">
        <v>56</v>
      </c>
      <c r="G116" s="4">
        <v>45</v>
      </c>
      <c r="H116" s="4">
        <v>420</v>
      </c>
      <c r="I116" s="4">
        <v>18900</v>
      </c>
      <c r="J116" s="4">
        <f>Table1[[#This Row],[Total Sale]]*0.2</f>
        <v>3780</v>
      </c>
      <c r="K116" s="4" t="s">
        <v>17</v>
      </c>
    </row>
    <row r="117" spans="3:11" x14ac:dyDescent="0.3">
      <c r="C117" s="3">
        <v>45943</v>
      </c>
      <c r="D117" s="3" t="s">
        <v>34</v>
      </c>
      <c r="E117" s="4" t="s">
        <v>27</v>
      </c>
      <c r="F117" s="4" t="s">
        <v>61</v>
      </c>
      <c r="G117" s="4">
        <v>42</v>
      </c>
      <c r="H117" s="4">
        <v>294</v>
      </c>
      <c r="I117" s="4">
        <v>12348</v>
      </c>
      <c r="J117" s="4">
        <f>Table1[[#This Row],[Total Sale]]*0.2</f>
        <v>2469.6000000000004</v>
      </c>
      <c r="K117" s="4" t="s">
        <v>9</v>
      </c>
    </row>
    <row r="118" spans="3:11" x14ac:dyDescent="0.3">
      <c r="C118" s="3">
        <v>45943</v>
      </c>
      <c r="D118" s="3" t="s">
        <v>47</v>
      </c>
      <c r="E118" s="4" t="s">
        <v>11</v>
      </c>
      <c r="F118" s="4" t="s">
        <v>61</v>
      </c>
      <c r="G118" s="4">
        <v>44</v>
      </c>
      <c r="H118" s="4">
        <v>348</v>
      </c>
      <c r="I118" s="4">
        <v>15312</v>
      </c>
      <c r="J118" s="4">
        <f>Table1[[#This Row],[Total Sale]]*0.2</f>
        <v>3062.4</v>
      </c>
      <c r="K118" s="4" t="s">
        <v>19</v>
      </c>
    </row>
    <row r="119" spans="3:11" x14ac:dyDescent="0.3">
      <c r="C119" s="3">
        <v>45943</v>
      </c>
      <c r="D119" s="3" t="s">
        <v>39</v>
      </c>
      <c r="E119" s="4" t="s">
        <v>29</v>
      </c>
      <c r="F119" s="4" t="s">
        <v>60</v>
      </c>
      <c r="G119" s="4">
        <v>28</v>
      </c>
      <c r="H119" s="4">
        <v>258</v>
      </c>
      <c r="I119" s="4">
        <v>7224</v>
      </c>
      <c r="J119" s="4">
        <f>Table1[[#This Row],[Total Sale]]*0.2</f>
        <v>1444.8000000000002</v>
      </c>
      <c r="K119" s="4" t="s">
        <v>9</v>
      </c>
    </row>
    <row r="120" spans="3:11" x14ac:dyDescent="0.3">
      <c r="C120" s="3">
        <v>45942</v>
      </c>
      <c r="D120" s="3" t="s">
        <v>45</v>
      </c>
      <c r="E120" s="4" t="s">
        <v>10</v>
      </c>
      <c r="F120" s="4" t="s">
        <v>55</v>
      </c>
      <c r="G120" s="4">
        <v>26</v>
      </c>
      <c r="H120" s="4">
        <v>235</v>
      </c>
      <c r="I120" s="4">
        <v>6110</v>
      </c>
      <c r="J120" s="4">
        <f>Table1[[#This Row],[Total Sale]]*0.2</f>
        <v>1222</v>
      </c>
      <c r="K120" s="4" t="s">
        <v>8</v>
      </c>
    </row>
    <row r="121" spans="3:11" x14ac:dyDescent="0.3">
      <c r="C121" s="3">
        <v>45940</v>
      </c>
      <c r="D121" s="3" t="s">
        <v>41</v>
      </c>
      <c r="E121" s="4" t="s">
        <v>13</v>
      </c>
      <c r="F121" s="4" t="s">
        <v>60</v>
      </c>
      <c r="G121" s="4">
        <v>48</v>
      </c>
      <c r="H121" s="4">
        <v>326</v>
      </c>
      <c r="I121" s="4">
        <v>15648</v>
      </c>
      <c r="J121" s="4">
        <f>Table1[[#This Row],[Total Sale]]*0.2</f>
        <v>3129.6000000000004</v>
      </c>
      <c r="K121" s="4" t="s">
        <v>20</v>
      </c>
    </row>
    <row r="122" spans="3:11" x14ac:dyDescent="0.3">
      <c r="C122" s="3">
        <v>45940</v>
      </c>
      <c r="D122" s="3" t="s">
        <v>31</v>
      </c>
      <c r="E122" s="4" t="s">
        <v>6</v>
      </c>
      <c r="F122" s="4" t="s">
        <v>51</v>
      </c>
      <c r="G122" s="4">
        <v>15</v>
      </c>
      <c r="H122" s="4">
        <v>350</v>
      </c>
      <c r="I122" s="4">
        <v>5250</v>
      </c>
      <c r="J122" s="4">
        <f>Table1[[#This Row],[Total Sale]]*0.2</f>
        <v>1050</v>
      </c>
      <c r="K122" s="4" t="s">
        <v>8</v>
      </c>
    </row>
    <row r="123" spans="3:11" x14ac:dyDescent="0.3">
      <c r="C123" s="3">
        <v>45939</v>
      </c>
      <c r="D123" s="3" t="s">
        <v>47</v>
      </c>
      <c r="E123" s="4" t="s">
        <v>25</v>
      </c>
      <c r="F123" s="4" t="s">
        <v>57</v>
      </c>
      <c r="G123" s="4">
        <v>40</v>
      </c>
      <c r="H123" s="4">
        <v>496</v>
      </c>
      <c r="I123" s="4">
        <v>19840</v>
      </c>
      <c r="J123" s="4">
        <f>Table1[[#This Row],[Total Sale]]*0.2</f>
        <v>3968</v>
      </c>
      <c r="K123" s="4" t="s">
        <v>22</v>
      </c>
    </row>
    <row r="124" spans="3:11" x14ac:dyDescent="0.3">
      <c r="C124" s="3">
        <v>45939</v>
      </c>
      <c r="D124" s="3" t="s">
        <v>40</v>
      </c>
      <c r="E124" s="4" t="s">
        <v>13</v>
      </c>
      <c r="F124" s="4" t="s">
        <v>59</v>
      </c>
      <c r="G124" s="4">
        <v>35</v>
      </c>
      <c r="H124" s="4">
        <v>215</v>
      </c>
      <c r="I124" s="4">
        <v>7525</v>
      </c>
      <c r="J124" s="4">
        <f>Table1[[#This Row],[Total Sale]]*0.2</f>
        <v>1505</v>
      </c>
      <c r="K124" s="4" t="s">
        <v>20</v>
      </c>
    </row>
    <row r="125" spans="3:11" x14ac:dyDescent="0.3">
      <c r="C125" s="3">
        <v>45939</v>
      </c>
      <c r="D125" s="3" t="s">
        <v>35</v>
      </c>
      <c r="E125" s="4" t="s">
        <v>18</v>
      </c>
      <c r="F125" s="4" t="s">
        <v>68</v>
      </c>
      <c r="G125" s="4">
        <v>16</v>
      </c>
      <c r="H125" s="4">
        <v>375</v>
      </c>
      <c r="I125" s="4">
        <v>6000</v>
      </c>
      <c r="J125" s="4">
        <f>Table1[[#This Row],[Total Sale]]*0.2</f>
        <v>1200</v>
      </c>
      <c r="K125" s="4" t="s">
        <v>19</v>
      </c>
    </row>
    <row r="126" spans="3:11" x14ac:dyDescent="0.3">
      <c r="C126" s="3">
        <v>45938</v>
      </c>
      <c r="D126" s="3" t="s">
        <v>32</v>
      </c>
      <c r="E126" s="4" t="s">
        <v>6</v>
      </c>
      <c r="F126" s="4" t="s">
        <v>54</v>
      </c>
      <c r="G126" s="4">
        <v>24</v>
      </c>
      <c r="H126" s="4">
        <v>270</v>
      </c>
      <c r="I126" s="4">
        <v>6480</v>
      </c>
      <c r="J126" s="4">
        <f>Table1[[#This Row],[Total Sale]]*0.2</f>
        <v>1296</v>
      </c>
      <c r="K126" s="4" t="s">
        <v>9</v>
      </c>
    </row>
    <row r="127" spans="3:11" x14ac:dyDescent="0.3">
      <c r="C127" s="3">
        <v>45938</v>
      </c>
      <c r="D127" s="3" t="s">
        <v>50</v>
      </c>
      <c r="E127" s="4" t="s">
        <v>16</v>
      </c>
      <c r="F127" s="4" t="s">
        <v>59</v>
      </c>
      <c r="G127" s="4">
        <v>10</v>
      </c>
      <c r="H127" s="4">
        <v>365</v>
      </c>
      <c r="I127" s="4">
        <v>3650</v>
      </c>
      <c r="J127" s="4">
        <f>Table1[[#This Row],[Total Sale]]*0.2</f>
        <v>730</v>
      </c>
      <c r="K127" s="4" t="s">
        <v>28</v>
      </c>
    </row>
    <row r="128" spans="3:11" x14ac:dyDescent="0.3">
      <c r="C128" s="3">
        <v>45937</v>
      </c>
      <c r="D128" s="3" t="s">
        <v>37</v>
      </c>
      <c r="E128" s="4" t="s">
        <v>25</v>
      </c>
      <c r="F128" s="4" t="s">
        <v>53</v>
      </c>
      <c r="G128" s="4">
        <v>17</v>
      </c>
      <c r="H128" s="4">
        <v>396</v>
      </c>
      <c r="I128" s="4">
        <v>6732</v>
      </c>
      <c r="J128" s="4">
        <f>Table1[[#This Row],[Total Sale]]*0.2</f>
        <v>1346.4</v>
      </c>
      <c r="K128" s="4" t="s">
        <v>24</v>
      </c>
    </row>
    <row r="129" spans="3:11" x14ac:dyDescent="0.3">
      <c r="C129" s="3">
        <v>45937</v>
      </c>
      <c r="D129" s="3" t="s">
        <v>38</v>
      </c>
      <c r="E129" s="4" t="s">
        <v>25</v>
      </c>
      <c r="F129" s="4" t="s">
        <v>68</v>
      </c>
      <c r="G129" s="4">
        <v>42</v>
      </c>
      <c r="H129" s="4">
        <v>335</v>
      </c>
      <c r="I129" s="4">
        <v>14070</v>
      </c>
      <c r="J129" s="4">
        <f>Table1[[#This Row],[Total Sale]]*0.2</f>
        <v>2814</v>
      </c>
      <c r="K129" s="4" t="s">
        <v>28</v>
      </c>
    </row>
    <row r="130" spans="3:11" x14ac:dyDescent="0.3">
      <c r="C130" s="3">
        <v>45937</v>
      </c>
      <c r="D130" s="3" t="s">
        <v>40</v>
      </c>
      <c r="E130" s="4" t="s">
        <v>13</v>
      </c>
      <c r="F130" s="4" t="s">
        <v>54</v>
      </c>
      <c r="G130" s="4">
        <v>33</v>
      </c>
      <c r="H130" s="4">
        <v>394</v>
      </c>
      <c r="I130" s="4">
        <v>13002</v>
      </c>
      <c r="J130" s="4">
        <f>Table1[[#This Row],[Total Sale]]*0.2</f>
        <v>2600.4</v>
      </c>
      <c r="K130" s="4" t="s">
        <v>20</v>
      </c>
    </row>
    <row r="131" spans="3:11" x14ac:dyDescent="0.3">
      <c r="C131" s="3">
        <v>45937</v>
      </c>
      <c r="D131" s="3" t="s">
        <v>35</v>
      </c>
      <c r="E131" s="4" t="s">
        <v>16</v>
      </c>
      <c r="F131" s="4" t="s">
        <v>64</v>
      </c>
      <c r="G131" s="4">
        <v>30</v>
      </c>
      <c r="H131" s="4">
        <v>256</v>
      </c>
      <c r="I131" s="4">
        <v>7680</v>
      </c>
      <c r="J131" s="4">
        <f>Table1[[#This Row],[Total Sale]]*0.2</f>
        <v>1536</v>
      </c>
      <c r="K131" s="4" t="s">
        <v>7</v>
      </c>
    </row>
    <row r="132" spans="3:11" x14ac:dyDescent="0.3">
      <c r="C132" s="3">
        <v>45937</v>
      </c>
      <c r="D132" s="3" t="s">
        <v>44</v>
      </c>
      <c r="E132" s="4" t="s">
        <v>29</v>
      </c>
      <c r="F132" s="4" t="s">
        <v>60</v>
      </c>
      <c r="G132" s="4">
        <v>45</v>
      </c>
      <c r="H132" s="4">
        <v>459</v>
      </c>
      <c r="I132" s="4">
        <v>20655</v>
      </c>
      <c r="J132" s="4">
        <f>Table1[[#This Row],[Total Sale]]*0.2</f>
        <v>4131</v>
      </c>
      <c r="K132" s="4" t="s">
        <v>19</v>
      </c>
    </row>
    <row r="133" spans="3:11" x14ac:dyDescent="0.3">
      <c r="C133" s="3">
        <v>45936</v>
      </c>
      <c r="D133" s="3" t="s">
        <v>32</v>
      </c>
      <c r="E133" s="4" t="s">
        <v>11</v>
      </c>
      <c r="F133" s="4" t="s">
        <v>64</v>
      </c>
      <c r="G133" s="4">
        <v>22</v>
      </c>
      <c r="H133" s="4">
        <v>249</v>
      </c>
      <c r="I133" s="4">
        <v>5478</v>
      </c>
      <c r="J133" s="4">
        <f>Table1[[#This Row],[Total Sale]]*0.2</f>
        <v>1095.6000000000001</v>
      </c>
      <c r="K133" s="4" t="s">
        <v>15</v>
      </c>
    </row>
    <row r="134" spans="3:11" x14ac:dyDescent="0.3">
      <c r="C134" s="3">
        <v>45935</v>
      </c>
      <c r="D134" s="3" t="s">
        <v>41</v>
      </c>
      <c r="E134" s="4" t="s">
        <v>11</v>
      </c>
      <c r="F134" s="4" t="s">
        <v>70</v>
      </c>
      <c r="G134" s="4">
        <v>48</v>
      </c>
      <c r="H134" s="4">
        <v>341</v>
      </c>
      <c r="I134" s="4">
        <v>16368</v>
      </c>
      <c r="J134" s="4">
        <f>Table1[[#This Row],[Total Sale]]*0.2</f>
        <v>3273.6000000000004</v>
      </c>
      <c r="K134" s="4" t="s">
        <v>21</v>
      </c>
    </row>
    <row r="135" spans="3:11" x14ac:dyDescent="0.3">
      <c r="C135" s="3">
        <v>45935</v>
      </c>
      <c r="D135" s="3" t="s">
        <v>45</v>
      </c>
      <c r="E135" s="4" t="s">
        <v>11</v>
      </c>
      <c r="F135" s="4" t="s">
        <v>51</v>
      </c>
      <c r="G135" s="4">
        <v>40</v>
      </c>
      <c r="H135" s="4">
        <v>253</v>
      </c>
      <c r="I135" s="4">
        <v>10120</v>
      </c>
      <c r="J135" s="4">
        <f>Table1[[#This Row],[Total Sale]]*0.2</f>
        <v>2024</v>
      </c>
      <c r="K135" s="4" t="s">
        <v>17</v>
      </c>
    </row>
    <row r="136" spans="3:11" x14ac:dyDescent="0.3">
      <c r="C136" s="3">
        <v>45931</v>
      </c>
      <c r="D136" s="3" t="s">
        <v>49</v>
      </c>
      <c r="E136" s="4" t="s">
        <v>25</v>
      </c>
      <c r="F136" s="4" t="s">
        <v>56</v>
      </c>
      <c r="G136" s="4">
        <v>50</v>
      </c>
      <c r="H136" s="4">
        <v>307</v>
      </c>
      <c r="I136" s="4">
        <v>15350</v>
      </c>
      <c r="J136" s="4">
        <f>Table1[[#This Row],[Total Sale]]*0.2</f>
        <v>3070</v>
      </c>
      <c r="K136" s="4" t="s">
        <v>24</v>
      </c>
    </row>
    <row r="137" spans="3:11" x14ac:dyDescent="0.3">
      <c r="C137" s="3">
        <v>45931</v>
      </c>
      <c r="D137" s="3" t="s">
        <v>39</v>
      </c>
      <c r="E137" s="4" t="s">
        <v>29</v>
      </c>
      <c r="F137" s="4" t="s">
        <v>57</v>
      </c>
      <c r="G137" s="4">
        <v>37</v>
      </c>
      <c r="H137" s="4">
        <v>384</v>
      </c>
      <c r="I137" s="4">
        <v>14208</v>
      </c>
      <c r="J137" s="4">
        <f>Table1[[#This Row],[Total Sale]]*0.2</f>
        <v>2841.6000000000004</v>
      </c>
      <c r="K137" s="4" t="s">
        <v>24</v>
      </c>
    </row>
    <row r="138" spans="3:11" x14ac:dyDescent="0.3">
      <c r="C138" s="3">
        <v>45930</v>
      </c>
      <c r="D138" s="3" t="s">
        <v>33</v>
      </c>
      <c r="E138" s="4" t="s">
        <v>26</v>
      </c>
      <c r="F138" s="4" t="s">
        <v>51</v>
      </c>
      <c r="G138" s="4">
        <v>25</v>
      </c>
      <c r="H138" s="4">
        <v>299</v>
      </c>
      <c r="I138" s="4">
        <v>7475</v>
      </c>
      <c r="J138" s="4">
        <f>Table1[[#This Row],[Total Sale]]*0.2</f>
        <v>1495</v>
      </c>
      <c r="K138" s="4" t="s">
        <v>9</v>
      </c>
    </row>
    <row r="139" spans="3:11" x14ac:dyDescent="0.3">
      <c r="C139" s="3">
        <v>45930</v>
      </c>
      <c r="D139" s="3" t="s">
        <v>37</v>
      </c>
      <c r="E139" s="4" t="s">
        <v>13</v>
      </c>
      <c r="F139" s="4" t="s">
        <v>56</v>
      </c>
      <c r="G139" s="4">
        <v>44</v>
      </c>
      <c r="H139" s="4">
        <v>392</v>
      </c>
      <c r="I139" s="4">
        <v>17248</v>
      </c>
      <c r="J139" s="4">
        <f>Table1[[#This Row],[Total Sale]]*0.2</f>
        <v>3449.6000000000004</v>
      </c>
      <c r="K139" s="4" t="s">
        <v>22</v>
      </c>
    </row>
    <row r="140" spans="3:11" x14ac:dyDescent="0.3">
      <c r="C140" s="3">
        <v>45930</v>
      </c>
      <c r="D140" s="3" t="s">
        <v>36</v>
      </c>
      <c r="E140" s="4" t="s">
        <v>6</v>
      </c>
      <c r="F140" s="4" t="s">
        <v>67</v>
      </c>
      <c r="G140" s="4">
        <v>17</v>
      </c>
      <c r="H140" s="4">
        <v>464</v>
      </c>
      <c r="I140" s="4">
        <v>7888</v>
      </c>
      <c r="J140" s="4">
        <f>Table1[[#This Row],[Total Sale]]*0.2</f>
        <v>1577.6000000000001</v>
      </c>
      <c r="K140" s="4" t="s">
        <v>8</v>
      </c>
    </row>
    <row r="141" spans="3:11" x14ac:dyDescent="0.3">
      <c r="C141" s="3">
        <v>45929</v>
      </c>
      <c r="D141" s="3" t="s">
        <v>33</v>
      </c>
      <c r="E141" s="4" t="s">
        <v>16</v>
      </c>
      <c r="F141" s="4" t="s">
        <v>55</v>
      </c>
      <c r="G141" s="4">
        <v>23</v>
      </c>
      <c r="H141" s="4">
        <v>246</v>
      </c>
      <c r="I141" s="4">
        <v>5658</v>
      </c>
      <c r="J141" s="4">
        <f>Table1[[#This Row],[Total Sale]]*0.2</f>
        <v>1131.6000000000001</v>
      </c>
      <c r="K141" s="4" t="s">
        <v>8</v>
      </c>
    </row>
    <row r="142" spans="3:11" x14ac:dyDescent="0.3">
      <c r="C142" s="3">
        <v>45928</v>
      </c>
      <c r="D142" s="3" t="s">
        <v>45</v>
      </c>
      <c r="E142" s="4" t="s">
        <v>11</v>
      </c>
      <c r="F142" s="4" t="s">
        <v>67</v>
      </c>
      <c r="G142" s="4">
        <v>34</v>
      </c>
      <c r="H142" s="4">
        <v>328</v>
      </c>
      <c r="I142" s="4">
        <v>11152</v>
      </c>
      <c r="J142" s="4">
        <f>Table1[[#This Row],[Total Sale]]*0.2</f>
        <v>2230.4</v>
      </c>
      <c r="K142" s="4" t="s">
        <v>14</v>
      </c>
    </row>
    <row r="143" spans="3:11" x14ac:dyDescent="0.3">
      <c r="C143" s="3">
        <v>45928</v>
      </c>
      <c r="D143" s="3" t="s">
        <v>43</v>
      </c>
      <c r="E143" s="4" t="s">
        <v>13</v>
      </c>
      <c r="F143" s="4" t="s">
        <v>58</v>
      </c>
      <c r="G143" s="4">
        <v>14</v>
      </c>
      <c r="H143" s="4">
        <v>365</v>
      </c>
      <c r="I143" s="4">
        <v>5110</v>
      </c>
      <c r="J143" s="4">
        <f>Table1[[#This Row],[Total Sale]]*0.2</f>
        <v>1022</v>
      </c>
      <c r="K143" s="4" t="s">
        <v>9</v>
      </c>
    </row>
    <row r="144" spans="3:11" x14ac:dyDescent="0.3">
      <c r="C144" s="3">
        <v>45928</v>
      </c>
      <c r="D144" s="3" t="s">
        <v>34</v>
      </c>
      <c r="E144" s="4" t="s">
        <v>16</v>
      </c>
      <c r="F144" s="4" t="s">
        <v>67</v>
      </c>
      <c r="G144" s="4">
        <v>34</v>
      </c>
      <c r="H144" s="4">
        <v>258</v>
      </c>
      <c r="I144" s="4">
        <v>8772</v>
      </c>
      <c r="J144" s="4">
        <f>Table1[[#This Row],[Total Sale]]*0.2</f>
        <v>1754.4</v>
      </c>
      <c r="K144" s="4" t="s">
        <v>9</v>
      </c>
    </row>
    <row r="145" spans="3:11" x14ac:dyDescent="0.3">
      <c r="C145" s="3">
        <v>45927</v>
      </c>
      <c r="D145" s="3" t="s">
        <v>33</v>
      </c>
      <c r="E145" s="4" t="s">
        <v>11</v>
      </c>
      <c r="F145" s="4" t="s">
        <v>51</v>
      </c>
      <c r="G145" s="4">
        <v>44</v>
      </c>
      <c r="H145" s="4">
        <v>425</v>
      </c>
      <c r="I145" s="4">
        <v>18700</v>
      </c>
      <c r="J145" s="4">
        <f>Table1[[#This Row],[Total Sale]]*0.2</f>
        <v>3740</v>
      </c>
      <c r="K145" s="4" t="s">
        <v>15</v>
      </c>
    </row>
    <row r="146" spans="3:11" x14ac:dyDescent="0.3">
      <c r="C146" s="3">
        <v>45922</v>
      </c>
      <c r="D146" s="3" t="s">
        <v>50</v>
      </c>
      <c r="E146" s="4" t="s">
        <v>25</v>
      </c>
      <c r="F146" s="4" t="s">
        <v>57</v>
      </c>
      <c r="G146" s="4">
        <v>27</v>
      </c>
      <c r="H146" s="4">
        <v>313</v>
      </c>
      <c r="I146" s="4">
        <v>8451</v>
      </c>
      <c r="J146" s="4">
        <f>Table1[[#This Row],[Total Sale]]*0.2</f>
        <v>1690.2</v>
      </c>
      <c r="K146" s="4" t="s">
        <v>24</v>
      </c>
    </row>
    <row r="147" spans="3:11" x14ac:dyDescent="0.3">
      <c r="C147" s="3">
        <v>45922</v>
      </c>
      <c r="D147" s="3" t="s">
        <v>39</v>
      </c>
      <c r="E147" s="4" t="s">
        <v>6</v>
      </c>
      <c r="F147" s="4" t="s">
        <v>62</v>
      </c>
      <c r="G147" s="4">
        <v>44</v>
      </c>
      <c r="H147" s="4">
        <v>396</v>
      </c>
      <c r="I147" s="4">
        <v>17424</v>
      </c>
      <c r="J147" s="4">
        <f>Table1[[#This Row],[Total Sale]]*0.2</f>
        <v>3484.8</v>
      </c>
      <c r="K147" s="4" t="s">
        <v>21</v>
      </c>
    </row>
    <row r="148" spans="3:11" x14ac:dyDescent="0.3">
      <c r="C148" s="3">
        <v>45922</v>
      </c>
      <c r="D148" s="3" t="s">
        <v>49</v>
      </c>
      <c r="E148" s="4" t="s">
        <v>18</v>
      </c>
      <c r="F148" s="4" t="s">
        <v>54</v>
      </c>
      <c r="G148" s="4">
        <v>10</v>
      </c>
      <c r="H148" s="4">
        <v>498</v>
      </c>
      <c r="I148" s="4">
        <v>4980</v>
      </c>
      <c r="J148" s="4">
        <f>Table1[[#This Row],[Total Sale]]*0.2</f>
        <v>996</v>
      </c>
      <c r="K148" s="4" t="s">
        <v>8</v>
      </c>
    </row>
    <row r="149" spans="3:11" x14ac:dyDescent="0.3">
      <c r="C149" s="3">
        <v>45921</v>
      </c>
      <c r="D149" s="3" t="s">
        <v>36</v>
      </c>
      <c r="E149" s="4" t="s">
        <v>11</v>
      </c>
      <c r="F149" s="4" t="s">
        <v>67</v>
      </c>
      <c r="G149" s="4">
        <v>17</v>
      </c>
      <c r="H149" s="4">
        <v>326</v>
      </c>
      <c r="I149" s="4">
        <v>5542</v>
      </c>
      <c r="J149" s="4">
        <f>Table1[[#This Row],[Total Sale]]*0.2</f>
        <v>1108.4000000000001</v>
      </c>
      <c r="K149" s="4" t="s">
        <v>24</v>
      </c>
    </row>
    <row r="150" spans="3:11" x14ac:dyDescent="0.3">
      <c r="C150" s="3">
        <v>45920</v>
      </c>
      <c r="D150" s="3" t="s">
        <v>37</v>
      </c>
      <c r="E150" s="4" t="s">
        <v>13</v>
      </c>
      <c r="F150" s="4" t="s">
        <v>55</v>
      </c>
      <c r="G150" s="4">
        <v>31</v>
      </c>
      <c r="H150" s="4">
        <v>288</v>
      </c>
      <c r="I150" s="4">
        <v>8928</v>
      </c>
      <c r="J150" s="4">
        <f>Table1[[#This Row],[Total Sale]]*0.2</f>
        <v>1785.6000000000001</v>
      </c>
      <c r="K150" s="4" t="s">
        <v>7</v>
      </c>
    </row>
    <row r="151" spans="3:11" x14ac:dyDescent="0.3">
      <c r="C151" s="3">
        <v>45918</v>
      </c>
      <c r="D151" s="3" t="s">
        <v>41</v>
      </c>
      <c r="E151" s="4" t="s">
        <v>29</v>
      </c>
      <c r="F151" s="4" t="s">
        <v>58</v>
      </c>
      <c r="G151" s="4">
        <v>34</v>
      </c>
      <c r="H151" s="4">
        <v>452</v>
      </c>
      <c r="I151" s="4">
        <v>15368</v>
      </c>
      <c r="J151" s="4">
        <f>Table1[[#This Row],[Total Sale]]*0.2</f>
        <v>3073.6000000000004</v>
      </c>
      <c r="K151" s="4" t="s">
        <v>7</v>
      </c>
    </row>
    <row r="152" spans="3:11" x14ac:dyDescent="0.3">
      <c r="C152" s="3">
        <v>45916</v>
      </c>
      <c r="D152" s="3" t="s">
        <v>33</v>
      </c>
      <c r="E152" s="4" t="s">
        <v>6</v>
      </c>
      <c r="F152" s="4" t="s">
        <v>68</v>
      </c>
      <c r="G152" s="4">
        <v>12</v>
      </c>
      <c r="H152" s="4">
        <v>409</v>
      </c>
      <c r="I152" s="4">
        <v>4908</v>
      </c>
      <c r="J152" s="4">
        <f>Table1[[#This Row],[Total Sale]]*0.2</f>
        <v>981.6</v>
      </c>
      <c r="K152" s="4" t="s">
        <v>14</v>
      </c>
    </row>
    <row r="153" spans="3:11" x14ac:dyDescent="0.3">
      <c r="C153" s="3">
        <v>45915</v>
      </c>
      <c r="D153" s="3" t="s">
        <v>36</v>
      </c>
      <c r="E153" s="4" t="s">
        <v>27</v>
      </c>
      <c r="F153" s="4" t="s">
        <v>59</v>
      </c>
      <c r="G153" s="4">
        <v>42</v>
      </c>
      <c r="H153" s="4">
        <v>429</v>
      </c>
      <c r="I153" s="4">
        <v>18018</v>
      </c>
      <c r="J153" s="4">
        <f>Table1[[#This Row],[Total Sale]]*0.2</f>
        <v>3603.6000000000004</v>
      </c>
      <c r="K153" s="4" t="s">
        <v>20</v>
      </c>
    </row>
    <row r="154" spans="3:11" x14ac:dyDescent="0.3">
      <c r="C154" s="3">
        <v>45915</v>
      </c>
      <c r="D154" s="3" t="s">
        <v>40</v>
      </c>
      <c r="E154" s="4" t="s">
        <v>6</v>
      </c>
      <c r="F154" s="4" t="s">
        <v>61</v>
      </c>
      <c r="G154" s="4">
        <v>15</v>
      </c>
      <c r="H154" s="4">
        <v>334</v>
      </c>
      <c r="I154" s="4">
        <v>5010</v>
      </c>
      <c r="J154" s="4">
        <f>Table1[[#This Row],[Total Sale]]*0.2</f>
        <v>1002</v>
      </c>
      <c r="K154" s="4" t="s">
        <v>28</v>
      </c>
    </row>
    <row r="155" spans="3:11" x14ac:dyDescent="0.3">
      <c r="C155" s="3">
        <v>45915</v>
      </c>
      <c r="D155" s="3" t="s">
        <v>48</v>
      </c>
      <c r="E155" s="4" t="s">
        <v>18</v>
      </c>
      <c r="F155" s="4" t="s">
        <v>68</v>
      </c>
      <c r="G155" s="4">
        <v>37</v>
      </c>
      <c r="H155" s="4">
        <v>402</v>
      </c>
      <c r="I155" s="4">
        <v>14874</v>
      </c>
      <c r="J155" s="4">
        <f>Table1[[#This Row],[Total Sale]]*0.2</f>
        <v>2974.8</v>
      </c>
      <c r="K155" s="4" t="s">
        <v>12</v>
      </c>
    </row>
    <row r="156" spans="3:11" x14ac:dyDescent="0.3">
      <c r="C156" s="3">
        <v>45915</v>
      </c>
      <c r="D156" s="3" t="s">
        <v>41</v>
      </c>
      <c r="E156" s="4" t="s">
        <v>16</v>
      </c>
      <c r="F156" s="4" t="s">
        <v>67</v>
      </c>
      <c r="G156" s="4">
        <v>17</v>
      </c>
      <c r="H156" s="4">
        <v>346</v>
      </c>
      <c r="I156" s="4">
        <v>5882</v>
      </c>
      <c r="J156" s="4">
        <f>Table1[[#This Row],[Total Sale]]*0.2</f>
        <v>1176.4000000000001</v>
      </c>
      <c r="K156" s="4" t="s">
        <v>22</v>
      </c>
    </row>
    <row r="157" spans="3:11" x14ac:dyDescent="0.3">
      <c r="C157" s="3">
        <v>45914</v>
      </c>
      <c r="D157" s="3" t="s">
        <v>34</v>
      </c>
      <c r="E157" s="4" t="s">
        <v>10</v>
      </c>
      <c r="F157" s="4" t="s">
        <v>52</v>
      </c>
      <c r="G157" s="4">
        <v>30</v>
      </c>
      <c r="H157" s="4">
        <v>303</v>
      </c>
      <c r="I157" s="4">
        <v>9090</v>
      </c>
      <c r="J157" s="4">
        <f>Table1[[#This Row],[Total Sale]]*0.2</f>
        <v>1818</v>
      </c>
      <c r="K157" s="4" t="s">
        <v>23</v>
      </c>
    </row>
    <row r="158" spans="3:11" x14ac:dyDescent="0.3">
      <c r="C158" s="3">
        <v>45913</v>
      </c>
      <c r="D158" s="3" t="s">
        <v>39</v>
      </c>
      <c r="E158" s="4" t="s">
        <v>18</v>
      </c>
      <c r="F158" s="4" t="s">
        <v>54</v>
      </c>
      <c r="G158" s="4">
        <v>26</v>
      </c>
      <c r="H158" s="4">
        <v>460</v>
      </c>
      <c r="I158" s="4">
        <v>11960</v>
      </c>
      <c r="J158" s="4">
        <f>Table1[[#This Row],[Total Sale]]*0.2</f>
        <v>2392</v>
      </c>
      <c r="K158" s="4" t="s">
        <v>22</v>
      </c>
    </row>
    <row r="159" spans="3:11" x14ac:dyDescent="0.3">
      <c r="C159" s="3">
        <v>45912</v>
      </c>
      <c r="D159" s="3" t="s">
        <v>31</v>
      </c>
      <c r="E159" s="4" t="s">
        <v>25</v>
      </c>
      <c r="F159" s="4" t="s">
        <v>52</v>
      </c>
      <c r="G159" s="4">
        <v>21</v>
      </c>
      <c r="H159" s="4">
        <v>346</v>
      </c>
      <c r="I159" s="4">
        <v>7266</v>
      </c>
      <c r="J159" s="4">
        <f>Table1[[#This Row],[Total Sale]]*0.2</f>
        <v>1453.2</v>
      </c>
      <c r="K159" s="4" t="s">
        <v>19</v>
      </c>
    </row>
    <row r="160" spans="3:11" x14ac:dyDescent="0.3">
      <c r="C160" s="3">
        <v>45912</v>
      </c>
      <c r="D160" s="3" t="s">
        <v>45</v>
      </c>
      <c r="E160" s="4" t="s">
        <v>11</v>
      </c>
      <c r="F160" s="4" t="s">
        <v>63</v>
      </c>
      <c r="G160" s="4">
        <v>28</v>
      </c>
      <c r="H160" s="4">
        <v>214</v>
      </c>
      <c r="I160" s="4">
        <v>5992</v>
      </c>
      <c r="J160" s="4">
        <f>Table1[[#This Row],[Total Sale]]*0.2</f>
        <v>1198.4000000000001</v>
      </c>
      <c r="K160" s="4" t="s">
        <v>12</v>
      </c>
    </row>
    <row r="161" spans="3:11" x14ac:dyDescent="0.3">
      <c r="C161" s="3">
        <v>45911</v>
      </c>
      <c r="D161" s="3" t="s">
        <v>39</v>
      </c>
      <c r="E161" s="4" t="s">
        <v>26</v>
      </c>
      <c r="F161" s="4" t="s">
        <v>69</v>
      </c>
      <c r="G161" s="4">
        <v>32</v>
      </c>
      <c r="H161" s="4">
        <v>370</v>
      </c>
      <c r="I161" s="4">
        <v>11840</v>
      </c>
      <c r="J161" s="4">
        <f>Table1[[#This Row],[Total Sale]]*0.2</f>
        <v>2368</v>
      </c>
      <c r="K161" s="4" t="s">
        <v>19</v>
      </c>
    </row>
    <row r="162" spans="3:11" x14ac:dyDescent="0.3">
      <c r="C162" s="3">
        <v>45911</v>
      </c>
      <c r="D162" s="3" t="s">
        <v>39</v>
      </c>
      <c r="E162" s="4" t="s">
        <v>13</v>
      </c>
      <c r="F162" s="4" t="s">
        <v>62</v>
      </c>
      <c r="G162" s="4">
        <v>41</v>
      </c>
      <c r="H162" s="4">
        <v>492</v>
      </c>
      <c r="I162" s="4">
        <v>20172</v>
      </c>
      <c r="J162" s="4">
        <f>Table1[[#This Row],[Total Sale]]*0.2</f>
        <v>4034.4</v>
      </c>
      <c r="K162" s="4" t="s">
        <v>23</v>
      </c>
    </row>
    <row r="163" spans="3:11" x14ac:dyDescent="0.3">
      <c r="C163" s="3">
        <v>45911</v>
      </c>
      <c r="D163" s="3" t="s">
        <v>38</v>
      </c>
      <c r="E163" s="4" t="s">
        <v>29</v>
      </c>
      <c r="F163" s="4" t="s">
        <v>57</v>
      </c>
      <c r="G163" s="4">
        <v>10</v>
      </c>
      <c r="H163" s="4">
        <v>353</v>
      </c>
      <c r="I163" s="4">
        <v>3530</v>
      </c>
      <c r="J163" s="4">
        <f>Table1[[#This Row],[Total Sale]]*0.2</f>
        <v>706</v>
      </c>
      <c r="K163" s="4" t="s">
        <v>21</v>
      </c>
    </row>
    <row r="164" spans="3:11" x14ac:dyDescent="0.3">
      <c r="C164" s="3">
        <v>45910</v>
      </c>
      <c r="D164" s="3" t="s">
        <v>46</v>
      </c>
      <c r="E164" s="4" t="s">
        <v>25</v>
      </c>
      <c r="F164" s="4" t="s">
        <v>57</v>
      </c>
      <c r="G164" s="4">
        <v>26</v>
      </c>
      <c r="H164" s="4">
        <v>347</v>
      </c>
      <c r="I164" s="4">
        <v>9022</v>
      </c>
      <c r="J164" s="4">
        <f>Table1[[#This Row],[Total Sale]]*0.2</f>
        <v>1804.4</v>
      </c>
      <c r="K164" s="4" t="s">
        <v>7</v>
      </c>
    </row>
    <row r="165" spans="3:11" x14ac:dyDescent="0.3">
      <c r="C165" s="3">
        <v>45910</v>
      </c>
      <c r="D165" s="3" t="s">
        <v>37</v>
      </c>
      <c r="E165" s="4" t="s">
        <v>11</v>
      </c>
      <c r="F165" s="4" t="s">
        <v>55</v>
      </c>
      <c r="G165" s="4">
        <v>16</v>
      </c>
      <c r="H165" s="4">
        <v>246</v>
      </c>
      <c r="I165" s="4">
        <v>3936</v>
      </c>
      <c r="J165" s="4">
        <f>Table1[[#This Row],[Total Sale]]*0.2</f>
        <v>787.2</v>
      </c>
      <c r="K165" s="4" t="s">
        <v>9</v>
      </c>
    </row>
    <row r="166" spans="3:11" x14ac:dyDescent="0.3">
      <c r="C166" s="3">
        <v>45910</v>
      </c>
      <c r="D166" s="3" t="s">
        <v>35</v>
      </c>
      <c r="E166" s="4" t="s">
        <v>13</v>
      </c>
      <c r="F166" s="4" t="s">
        <v>70</v>
      </c>
      <c r="G166" s="4">
        <v>14</v>
      </c>
      <c r="H166" s="4">
        <v>368</v>
      </c>
      <c r="I166" s="4">
        <v>5152</v>
      </c>
      <c r="J166" s="4">
        <f>Table1[[#This Row],[Total Sale]]*0.2</f>
        <v>1030.4000000000001</v>
      </c>
      <c r="K166" s="4" t="s">
        <v>15</v>
      </c>
    </row>
    <row r="167" spans="3:11" x14ac:dyDescent="0.3">
      <c r="C167" s="3">
        <v>45909</v>
      </c>
      <c r="D167" s="3" t="s">
        <v>31</v>
      </c>
      <c r="E167" s="4" t="s">
        <v>27</v>
      </c>
      <c r="F167" s="4" t="s">
        <v>54</v>
      </c>
      <c r="G167" s="4">
        <v>23</v>
      </c>
      <c r="H167" s="4">
        <v>438</v>
      </c>
      <c r="I167" s="4">
        <v>10074</v>
      </c>
      <c r="J167" s="4">
        <f>Table1[[#This Row],[Total Sale]]*0.2</f>
        <v>2014.8000000000002</v>
      </c>
      <c r="K167" s="4" t="s">
        <v>22</v>
      </c>
    </row>
    <row r="168" spans="3:11" x14ac:dyDescent="0.3">
      <c r="C168" s="3">
        <v>45909</v>
      </c>
      <c r="D168" s="3" t="s">
        <v>44</v>
      </c>
      <c r="E168" s="4" t="s">
        <v>25</v>
      </c>
      <c r="F168" s="4" t="s">
        <v>64</v>
      </c>
      <c r="G168" s="4">
        <v>23</v>
      </c>
      <c r="H168" s="4">
        <v>304</v>
      </c>
      <c r="I168" s="4">
        <v>6992</v>
      </c>
      <c r="J168" s="4">
        <f>Table1[[#This Row],[Total Sale]]*0.2</f>
        <v>1398.4</v>
      </c>
      <c r="K168" s="4" t="s">
        <v>24</v>
      </c>
    </row>
    <row r="169" spans="3:11" x14ac:dyDescent="0.3">
      <c r="C169" s="3">
        <v>45909</v>
      </c>
      <c r="D169" s="3" t="s">
        <v>48</v>
      </c>
      <c r="E169" s="4" t="s">
        <v>26</v>
      </c>
      <c r="F169" s="4" t="s">
        <v>70</v>
      </c>
      <c r="G169" s="4">
        <v>41</v>
      </c>
      <c r="H169" s="4">
        <v>264</v>
      </c>
      <c r="I169" s="4">
        <v>10824</v>
      </c>
      <c r="J169" s="4">
        <f>Table1[[#This Row],[Total Sale]]*0.2</f>
        <v>2164.8000000000002</v>
      </c>
      <c r="K169" s="4" t="s">
        <v>12</v>
      </c>
    </row>
    <row r="170" spans="3:11" x14ac:dyDescent="0.3">
      <c r="C170" s="3">
        <v>45909</v>
      </c>
      <c r="D170" s="3" t="s">
        <v>33</v>
      </c>
      <c r="E170" s="4" t="s">
        <v>11</v>
      </c>
      <c r="F170" s="4" t="s">
        <v>61</v>
      </c>
      <c r="G170" s="4">
        <v>35</v>
      </c>
      <c r="H170" s="4">
        <v>422</v>
      </c>
      <c r="I170" s="4">
        <v>14770</v>
      </c>
      <c r="J170" s="4">
        <f>Table1[[#This Row],[Total Sale]]*0.2</f>
        <v>2954</v>
      </c>
      <c r="K170" s="4" t="s">
        <v>23</v>
      </c>
    </row>
    <row r="171" spans="3:11" x14ac:dyDescent="0.3">
      <c r="C171" s="3">
        <v>45909</v>
      </c>
      <c r="D171" s="3" t="s">
        <v>50</v>
      </c>
      <c r="E171" s="4" t="s">
        <v>13</v>
      </c>
      <c r="F171" s="4" t="s">
        <v>55</v>
      </c>
      <c r="G171" s="4">
        <v>13</v>
      </c>
      <c r="H171" s="4">
        <v>348</v>
      </c>
      <c r="I171" s="4">
        <v>4524</v>
      </c>
      <c r="J171" s="4">
        <f>Table1[[#This Row],[Total Sale]]*0.2</f>
        <v>904.80000000000007</v>
      </c>
      <c r="K171" s="4" t="s">
        <v>15</v>
      </c>
    </row>
    <row r="172" spans="3:11" x14ac:dyDescent="0.3">
      <c r="C172" s="3">
        <v>45909</v>
      </c>
      <c r="D172" s="3" t="s">
        <v>44</v>
      </c>
      <c r="E172" s="4" t="s">
        <v>18</v>
      </c>
      <c r="F172" s="4" t="s">
        <v>55</v>
      </c>
      <c r="G172" s="4">
        <v>18</v>
      </c>
      <c r="H172" s="4">
        <v>309</v>
      </c>
      <c r="I172" s="4">
        <v>5562</v>
      </c>
      <c r="J172" s="4">
        <f>Table1[[#This Row],[Total Sale]]*0.2</f>
        <v>1112.4000000000001</v>
      </c>
      <c r="K172" s="4" t="s">
        <v>22</v>
      </c>
    </row>
    <row r="173" spans="3:11" x14ac:dyDescent="0.3">
      <c r="C173" s="3">
        <v>45908</v>
      </c>
      <c r="D173" s="3" t="s">
        <v>35</v>
      </c>
      <c r="E173" s="4" t="s">
        <v>10</v>
      </c>
      <c r="F173" s="4" t="s">
        <v>60</v>
      </c>
      <c r="G173" s="4">
        <v>32</v>
      </c>
      <c r="H173" s="4">
        <v>382</v>
      </c>
      <c r="I173" s="4">
        <v>12224</v>
      </c>
      <c r="J173" s="4">
        <f>Table1[[#This Row],[Total Sale]]*0.2</f>
        <v>2444.8000000000002</v>
      </c>
      <c r="K173" s="4" t="s">
        <v>22</v>
      </c>
    </row>
    <row r="174" spans="3:11" x14ac:dyDescent="0.3">
      <c r="C174" s="3">
        <v>45908</v>
      </c>
      <c r="D174" s="3" t="s">
        <v>50</v>
      </c>
      <c r="E174" s="4" t="s">
        <v>13</v>
      </c>
      <c r="F174" s="4" t="s">
        <v>69</v>
      </c>
      <c r="G174" s="4">
        <v>19</v>
      </c>
      <c r="H174" s="4">
        <v>490</v>
      </c>
      <c r="I174" s="4">
        <v>9310</v>
      </c>
      <c r="J174" s="4">
        <f>Table1[[#This Row],[Total Sale]]*0.2</f>
        <v>1862</v>
      </c>
      <c r="K174" s="4" t="s">
        <v>12</v>
      </c>
    </row>
    <row r="175" spans="3:11" x14ac:dyDescent="0.3">
      <c r="C175" s="3">
        <v>45908</v>
      </c>
      <c r="D175" s="3" t="s">
        <v>43</v>
      </c>
      <c r="E175" s="4" t="s">
        <v>29</v>
      </c>
      <c r="F175" s="4" t="s">
        <v>61</v>
      </c>
      <c r="G175" s="4">
        <v>38</v>
      </c>
      <c r="H175" s="4">
        <v>313</v>
      </c>
      <c r="I175" s="4">
        <v>11894</v>
      </c>
      <c r="J175" s="4">
        <f>Table1[[#This Row],[Total Sale]]*0.2</f>
        <v>2378.8000000000002</v>
      </c>
      <c r="K175" s="4" t="s">
        <v>12</v>
      </c>
    </row>
    <row r="176" spans="3:11" x14ac:dyDescent="0.3">
      <c r="C176" s="3">
        <v>45908</v>
      </c>
      <c r="D176" s="3" t="s">
        <v>47</v>
      </c>
      <c r="E176" s="4" t="s">
        <v>29</v>
      </c>
      <c r="F176" s="4" t="s">
        <v>58</v>
      </c>
      <c r="G176" s="4">
        <v>18</v>
      </c>
      <c r="H176" s="4">
        <v>214</v>
      </c>
      <c r="I176" s="4">
        <v>3852</v>
      </c>
      <c r="J176" s="4">
        <f>Table1[[#This Row],[Total Sale]]*0.2</f>
        <v>770.40000000000009</v>
      </c>
      <c r="K176" s="4" t="s">
        <v>9</v>
      </c>
    </row>
    <row r="177" spans="3:11" x14ac:dyDescent="0.3">
      <c r="C177" s="3">
        <v>45907</v>
      </c>
      <c r="D177" s="3" t="s">
        <v>48</v>
      </c>
      <c r="E177" s="4" t="s">
        <v>26</v>
      </c>
      <c r="F177" s="4" t="s">
        <v>65</v>
      </c>
      <c r="G177" s="4">
        <v>19</v>
      </c>
      <c r="H177" s="4">
        <v>430</v>
      </c>
      <c r="I177" s="4">
        <v>8170</v>
      </c>
      <c r="J177" s="4">
        <f>Table1[[#This Row],[Total Sale]]*0.2</f>
        <v>1634</v>
      </c>
      <c r="K177" s="4" t="s">
        <v>19</v>
      </c>
    </row>
    <row r="178" spans="3:11" x14ac:dyDescent="0.3">
      <c r="C178" s="3">
        <v>45907</v>
      </c>
      <c r="D178" s="3" t="s">
        <v>44</v>
      </c>
      <c r="E178" s="4" t="s">
        <v>13</v>
      </c>
      <c r="F178" s="4" t="s">
        <v>53</v>
      </c>
      <c r="G178" s="4">
        <v>22</v>
      </c>
      <c r="H178" s="4">
        <v>325</v>
      </c>
      <c r="I178" s="4">
        <v>7150</v>
      </c>
      <c r="J178" s="4">
        <f>Table1[[#This Row],[Total Sale]]*0.2</f>
        <v>1430</v>
      </c>
      <c r="K178" s="4" t="s">
        <v>15</v>
      </c>
    </row>
    <row r="179" spans="3:11" x14ac:dyDescent="0.3">
      <c r="C179" s="3">
        <v>45906</v>
      </c>
      <c r="D179" s="3" t="s">
        <v>39</v>
      </c>
      <c r="E179" s="4" t="s">
        <v>27</v>
      </c>
      <c r="F179" s="4" t="s">
        <v>60</v>
      </c>
      <c r="G179" s="4">
        <v>42</v>
      </c>
      <c r="H179" s="4">
        <v>384</v>
      </c>
      <c r="I179" s="4">
        <v>16128</v>
      </c>
      <c r="J179" s="4">
        <f>Table1[[#This Row],[Total Sale]]*0.2</f>
        <v>3225.6000000000004</v>
      </c>
      <c r="K179" s="4" t="s">
        <v>20</v>
      </c>
    </row>
    <row r="180" spans="3:11" x14ac:dyDescent="0.3">
      <c r="C180" s="3">
        <v>45906</v>
      </c>
      <c r="D180" s="3" t="s">
        <v>47</v>
      </c>
      <c r="E180" s="4" t="s">
        <v>29</v>
      </c>
      <c r="F180" s="4" t="s">
        <v>52</v>
      </c>
      <c r="G180" s="4">
        <v>34</v>
      </c>
      <c r="H180" s="4">
        <v>481</v>
      </c>
      <c r="I180" s="4">
        <v>16354</v>
      </c>
      <c r="J180" s="4">
        <f>Table1[[#This Row],[Total Sale]]*0.2</f>
        <v>3270.8</v>
      </c>
      <c r="K180" s="4" t="s">
        <v>15</v>
      </c>
    </row>
    <row r="181" spans="3:11" x14ac:dyDescent="0.3">
      <c r="C181" s="3">
        <v>45906</v>
      </c>
      <c r="D181" s="3" t="s">
        <v>47</v>
      </c>
      <c r="E181" s="4" t="s">
        <v>29</v>
      </c>
      <c r="F181" s="4" t="s">
        <v>66</v>
      </c>
      <c r="G181" s="4">
        <v>26</v>
      </c>
      <c r="H181" s="4">
        <v>324</v>
      </c>
      <c r="I181" s="4">
        <v>8424</v>
      </c>
      <c r="J181" s="4">
        <f>Table1[[#This Row],[Total Sale]]*0.2</f>
        <v>1684.8000000000002</v>
      </c>
      <c r="K181" s="4" t="s">
        <v>20</v>
      </c>
    </row>
    <row r="182" spans="3:11" x14ac:dyDescent="0.3">
      <c r="C182" s="3">
        <v>45905</v>
      </c>
      <c r="D182" s="3" t="s">
        <v>38</v>
      </c>
      <c r="E182" s="4" t="s">
        <v>27</v>
      </c>
      <c r="F182" s="4" t="s">
        <v>57</v>
      </c>
      <c r="G182" s="4">
        <v>16</v>
      </c>
      <c r="H182" s="4">
        <v>432</v>
      </c>
      <c r="I182" s="4">
        <v>6912</v>
      </c>
      <c r="J182" s="4">
        <f>Table1[[#This Row],[Total Sale]]*0.2</f>
        <v>1382.4</v>
      </c>
      <c r="K182" s="4" t="s">
        <v>21</v>
      </c>
    </row>
    <row r="183" spans="3:11" x14ac:dyDescent="0.3">
      <c r="C183" s="3">
        <v>45905</v>
      </c>
      <c r="D183" s="3" t="s">
        <v>35</v>
      </c>
      <c r="E183" s="4" t="s">
        <v>13</v>
      </c>
      <c r="F183" s="4" t="s">
        <v>61</v>
      </c>
      <c r="G183" s="4">
        <v>11</v>
      </c>
      <c r="H183" s="4">
        <v>344</v>
      </c>
      <c r="I183" s="4">
        <v>3784</v>
      </c>
      <c r="J183" s="4">
        <f>Table1[[#This Row],[Total Sale]]*0.2</f>
        <v>756.80000000000007</v>
      </c>
      <c r="K183" s="4" t="s">
        <v>24</v>
      </c>
    </row>
    <row r="184" spans="3:11" x14ac:dyDescent="0.3">
      <c r="C184" s="3">
        <v>45904</v>
      </c>
      <c r="D184" s="3" t="s">
        <v>40</v>
      </c>
      <c r="E184" s="4" t="s">
        <v>27</v>
      </c>
      <c r="F184" s="4" t="s">
        <v>52</v>
      </c>
      <c r="G184" s="4">
        <v>29</v>
      </c>
      <c r="H184" s="4">
        <v>256</v>
      </c>
      <c r="I184" s="4">
        <v>7424</v>
      </c>
      <c r="J184" s="4">
        <f>Table1[[#This Row],[Total Sale]]*0.2</f>
        <v>1484.8000000000002</v>
      </c>
      <c r="K184" s="4" t="s">
        <v>21</v>
      </c>
    </row>
    <row r="185" spans="3:11" x14ac:dyDescent="0.3">
      <c r="C185" s="3">
        <v>45904</v>
      </c>
      <c r="D185" s="3" t="s">
        <v>45</v>
      </c>
      <c r="E185" s="4" t="s">
        <v>10</v>
      </c>
      <c r="F185" s="4" t="s">
        <v>61</v>
      </c>
      <c r="G185" s="4">
        <v>21</v>
      </c>
      <c r="H185" s="4">
        <v>415</v>
      </c>
      <c r="I185" s="4">
        <v>8715</v>
      </c>
      <c r="J185" s="4">
        <f>Table1[[#This Row],[Total Sale]]*0.2</f>
        <v>1743</v>
      </c>
      <c r="K185" s="4" t="s">
        <v>23</v>
      </c>
    </row>
    <row r="186" spans="3:11" x14ac:dyDescent="0.3">
      <c r="C186" s="3">
        <v>45903</v>
      </c>
      <c r="D186" s="3" t="s">
        <v>38</v>
      </c>
      <c r="E186" s="4" t="s">
        <v>16</v>
      </c>
      <c r="F186" s="4" t="s">
        <v>53</v>
      </c>
      <c r="G186" s="4">
        <v>28</v>
      </c>
      <c r="H186" s="4">
        <v>420</v>
      </c>
      <c r="I186" s="4">
        <v>11760</v>
      </c>
      <c r="J186" s="4">
        <f>Table1[[#This Row],[Total Sale]]*0.2</f>
        <v>2352</v>
      </c>
      <c r="K186" s="4" t="s">
        <v>8</v>
      </c>
    </row>
    <row r="187" spans="3:11" x14ac:dyDescent="0.3">
      <c r="C187" s="3">
        <v>45902</v>
      </c>
      <c r="D187" s="3" t="s">
        <v>35</v>
      </c>
      <c r="E187" s="4" t="s">
        <v>27</v>
      </c>
      <c r="F187" s="4" t="s">
        <v>59</v>
      </c>
      <c r="G187" s="4">
        <v>19</v>
      </c>
      <c r="H187" s="4">
        <v>409</v>
      </c>
      <c r="I187" s="4">
        <v>7771</v>
      </c>
      <c r="J187" s="4">
        <f>Table1[[#This Row],[Total Sale]]*0.2</f>
        <v>1554.2</v>
      </c>
      <c r="K187" s="4" t="s">
        <v>19</v>
      </c>
    </row>
    <row r="188" spans="3:11" x14ac:dyDescent="0.3">
      <c r="C188" s="3">
        <v>45901</v>
      </c>
      <c r="D188" s="3" t="s">
        <v>43</v>
      </c>
      <c r="E188" s="4" t="s">
        <v>26</v>
      </c>
      <c r="F188" s="4" t="s">
        <v>69</v>
      </c>
      <c r="G188" s="4">
        <v>33</v>
      </c>
      <c r="H188" s="4">
        <v>218</v>
      </c>
      <c r="I188" s="4">
        <v>7194</v>
      </c>
      <c r="J188" s="4">
        <f>Table1[[#This Row],[Total Sale]]*0.2</f>
        <v>1438.8000000000002</v>
      </c>
      <c r="K188" s="4" t="s">
        <v>9</v>
      </c>
    </row>
    <row r="189" spans="3:11" x14ac:dyDescent="0.3">
      <c r="C189" s="3">
        <v>45901</v>
      </c>
      <c r="D189" s="3" t="s">
        <v>39</v>
      </c>
      <c r="E189" s="4" t="s">
        <v>10</v>
      </c>
      <c r="F189" s="4" t="s">
        <v>51</v>
      </c>
      <c r="G189" s="4">
        <v>20</v>
      </c>
      <c r="H189" s="4">
        <v>282</v>
      </c>
      <c r="I189" s="4">
        <v>5640</v>
      </c>
      <c r="J189" s="4">
        <f>Table1[[#This Row],[Total Sale]]*0.2</f>
        <v>1128</v>
      </c>
      <c r="K189" s="4" t="s">
        <v>14</v>
      </c>
    </row>
    <row r="190" spans="3:11" x14ac:dyDescent="0.3">
      <c r="C190" s="3">
        <v>45900</v>
      </c>
      <c r="D190" s="3" t="s">
        <v>33</v>
      </c>
      <c r="E190" s="4" t="s">
        <v>11</v>
      </c>
      <c r="F190" s="4" t="s">
        <v>54</v>
      </c>
      <c r="G190" s="4">
        <v>44</v>
      </c>
      <c r="H190" s="4">
        <v>364</v>
      </c>
      <c r="I190" s="4">
        <v>16016</v>
      </c>
      <c r="J190" s="4">
        <f>Table1[[#This Row],[Total Sale]]*0.2</f>
        <v>3203.2000000000003</v>
      </c>
      <c r="K190" s="4" t="s">
        <v>17</v>
      </c>
    </row>
    <row r="191" spans="3:11" x14ac:dyDescent="0.3">
      <c r="C191" s="3">
        <v>45900</v>
      </c>
      <c r="D191" s="3" t="s">
        <v>47</v>
      </c>
      <c r="E191" s="4" t="s">
        <v>13</v>
      </c>
      <c r="F191" s="4" t="s">
        <v>60</v>
      </c>
      <c r="G191" s="4">
        <v>16</v>
      </c>
      <c r="H191" s="4">
        <v>346</v>
      </c>
      <c r="I191" s="4">
        <v>5536</v>
      </c>
      <c r="J191" s="4">
        <f>Table1[[#This Row],[Total Sale]]*0.2</f>
        <v>1107.2</v>
      </c>
      <c r="K191" s="4" t="s">
        <v>21</v>
      </c>
    </row>
    <row r="192" spans="3:11" x14ac:dyDescent="0.3">
      <c r="C192" s="3">
        <v>45899</v>
      </c>
      <c r="D192" s="3" t="s">
        <v>33</v>
      </c>
      <c r="E192" s="4" t="s">
        <v>25</v>
      </c>
      <c r="F192" s="4" t="s">
        <v>56</v>
      </c>
      <c r="G192" s="4">
        <v>16</v>
      </c>
      <c r="H192" s="4">
        <v>224</v>
      </c>
      <c r="I192" s="4">
        <v>3584</v>
      </c>
      <c r="J192" s="4">
        <f>Table1[[#This Row],[Total Sale]]*0.2</f>
        <v>716.80000000000007</v>
      </c>
      <c r="K192" s="4" t="s">
        <v>9</v>
      </c>
    </row>
    <row r="193" spans="3:11" x14ac:dyDescent="0.3">
      <c r="C193" s="3">
        <v>45899</v>
      </c>
      <c r="D193" s="3" t="s">
        <v>41</v>
      </c>
      <c r="E193" s="4" t="s">
        <v>26</v>
      </c>
      <c r="F193" s="4" t="s">
        <v>54</v>
      </c>
      <c r="G193" s="4">
        <v>41</v>
      </c>
      <c r="H193" s="4">
        <v>458</v>
      </c>
      <c r="I193" s="4">
        <v>18778</v>
      </c>
      <c r="J193" s="4">
        <f>Table1[[#This Row],[Total Sale]]*0.2</f>
        <v>3755.6000000000004</v>
      </c>
      <c r="K193" s="4" t="s">
        <v>24</v>
      </c>
    </row>
    <row r="194" spans="3:11" x14ac:dyDescent="0.3">
      <c r="C194" s="3">
        <v>45899</v>
      </c>
      <c r="D194" s="3" t="s">
        <v>41</v>
      </c>
      <c r="E194" s="4" t="s">
        <v>26</v>
      </c>
      <c r="F194" s="4" t="s">
        <v>52</v>
      </c>
      <c r="G194" s="4">
        <v>44</v>
      </c>
      <c r="H194" s="4">
        <v>264</v>
      </c>
      <c r="I194" s="4">
        <v>11616</v>
      </c>
      <c r="J194" s="4">
        <f>Table1[[#This Row],[Total Sale]]*0.2</f>
        <v>2323.2000000000003</v>
      </c>
      <c r="K194" s="4" t="s">
        <v>20</v>
      </c>
    </row>
    <row r="195" spans="3:11" x14ac:dyDescent="0.3">
      <c r="C195" s="3">
        <v>45898</v>
      </c>
      <c r="D195" s="3" t="s">
        <v>45</v>
      </c>
      <c r="E195" s="4" t="s">
        <v>27</v>
      </c>
      <c r="F195" s="4" t="s">
        <v>60</v>
      </c>
      <c r="G195" s="4">
        <v>20</v>
      </c>
      <c r="H195" s="4">
        <v>445</v>
      </c>
      <c r="I195" s="4">
        <v>8900</v>
      </c>
      <c r="J195" s="4">
        <f>Table1[[#This Row],[Total Sale]]*0.2</f>
        <v>1780</v>
      </c>
      <c r="K195" s="4" t="s">
        <v>12</v>
      </c>
    </row>
    <row r="196" spans="3:11" x14ac:dyDescent="0.3">
      <c r="C196" s="3">
        <v>45898</v>
      </c>
      <c r="D196" s="3" t="s">
        <v>35</v>
      </c>
      <c r="E196" s="4" t="s">
        <v>25</v>
      </c>
      <c r="F196" s="4" t="s">
        <v>65</v>
      </c>
      <c r="G196" s="4">
        <v>29</v>
      </c>
      <c r="H196" s="4">
        <v>236</v>
      </c>
      <c r="I196" s="4">
        <v>6844</v>
      </c>
      <c r="J196" s="4">
        <f>Table1[[#This Row],[Total Sale]]*0.2</f>
        <v>1368.8000000000002</v>
      </c>
      <c r="K196" s="4" t="s">
        <v>20</v>
      </c>
    </row>
    <row r="197" spans="3:11" x14ac:dyDescent="0.3">
      <c r="C197" s="3">
        <v>45898</v>
      </c>
      <c r="D197" s="3" t="s">
        <v>50</v>
      </c>
      <c r="E197" s="4" t="s">
        <v>10</v>
      </c>
      <c r="F197" s="4" t="s">
        <v>62</v>
      </c>
      <c r="G197" s="4">
        <v>17</v>
      </c>
      <c r="H197" s="4">
        <v>257</v>
      </c>
      <c r="I197" s="4">
        <v>4369</v>
      </c>
      <c r="J197" s="4">
        <f>Table1[[#This Row],[Total Sale]]*0.2</f>
        <v>873.80000000000007</v>
      </c>
      <c r="K197" s="4" t="s">
        <v>8</v>
      </c>
    </row>
    <row r="198" spans="3:11" x14ac:dyDescent="0.3">
      <c r="C198" s="3">
        <v>45898</v>
      </c>
      <c r="D198" s="3" t="s">
        <v>32</v>
      </c>
      <c r="E198" s="4" t="s">
        <v>13</v>
      </c>
      <c r="F198" s="4" t="s">
        <v>60</v>
      </c>
      <c r="G198" s="4">
        <v>24</v>
      </c>
      <c r="H198" s="4">
        <v>286</v>
      </c>
      <c r="I198" s="4">
        <v>6864</v>
      </c>
      <c r="J198" s="4">
        <f>Table1[[#This Row],[Total Sale]]*0.2</f>
        <v>1372.8000000000002</v>
      </c>
      <c r="K198" s="4" t="s">
        <v>14</v>
      </c>
    </row>
    <row r="199" spans="3:11" x14ac:dyDescent="0.3">
      <c r="C199" s="3">
        <v>45898</v>
      </c>
      <c r="D199" s="3" t="s">
        <v>42</v>
      </c>
      <c r="E199" s="4" t="s">
        <v>16</v>
      </c>
      <c r="F199" s="4" t="s">
        <v>63</v>
      </c>
      <c r="G199" s="4">
        <v>29</v>
      </c>
      <c r="H199" s="4">
        <v>322</v>
      </c>
      <c r="I199" s="4">
        <v>9338</v>
      </c>
      <c r="J199" s="4">
        <f>Table1[[#This Row],[Total Sale]]*0.2</f>
        <v>1867.6000000000001</v>
      </c>
      <c r="K199" s="4" t="s">
        <v>19</v>
      </c>
    </row>
    <row r="200" spans="3:11" x14ac:dyDescent="0.3">
      <c r="C200" s="3">
        <v>45897</v>
      </c>
      <c r="D200" s="3" t="s">
        <v>36</v>
      </c>
      <c r="E200" s="4" t="s">
        <v>25</v>
      </c>
      <c r="F200" s="4" t="s">
        <v>53</v>
      </c>
      <c r="G200" s="4">
        <v>38</v>
      </c>
      <c r="H200" s="4">
        <v>499</v>
      </c>
      <c r="I200" s="4">
        <v>18962</v>
      </c>
      <c r="J200" s="4">
        <f>Table1[[#This Row],[Total Sale]]*0.2</f>
        <v>3792.4</v>
      </c>
      <c r="K200" s="4" t="s">
        <v>9</v>
      </c>
    </row>
    <row r="201" spans="3:11" x14ac:dyDescent="0.3">
      <c r="C201" s="3">
        <v>45895</v>
      </c>
      <c r="D201" s="3" t="s">
        <v>40</v>
      </c>
      <c r="E201" s="4" t="s">
        <v>16</v>
      </c>
      <c r="F201" s="4" t="s">
        <v>61</v>
      </c>
      <c r="G201" s="4">
        <v>46</v>
      </c>
      <c r="H201" s="4">
        <v>272</v>
      </c>
      <c r="I201" s="4">
        <v>12512</v>
      </c>
      <c r="J201" s="4">
        <f>Table1[[#This Row],[Total Sale]]*0.2</f>
        <v>2502.4</v>
      </c>
      <c r="K201" s="4" t="s">
        <v>19</v>
      </c>
    </row>
    <row r="202" spans="3:11" x14ac:dyDescent="0.3">
      <c r="C202" s="3">
        <v>45894</v>
      </c>
      <c r="D202" s="3" t="s">
        <v>35</v>
      </c>
      <c r="E202" s="4" t="s">
        <v>18</v>
      </c>
      <c r="F202" s="4" t="s">
        <v>62</v>
      </c>
      <c r="G202" s="4">
        <v>36</v>
      </c>
      <c r="H202" s="4">
        <v>376</v>
      </c>
      <c r="I202" s="4">
        <v>13536</v>
      </c>
      <c r="J202" s="4">
        <f>Table1[[#This Row],[Total Sale]]*0.2</f>
        <v>2707.2000000000003</v>
      </c>
      <c r="K202" s="4" t="s">
        <v>14</v>
      </c>
    </row>
    <row r="203" spans="3:11" x14ac:dyDescent="0.3">
      <c r="C203" s="3">
        <v>45892</v>
      </c>
      <c r="D203" s="3" t="s">
        <v>38</v>
      </c>
      <c r="E203" s="4" t="s">
        <v>11</v>
      </c>
      <c r="F203" s="4" t="s">
        <v>70</v>
      </c>
      <c r="G203" s="4">
        <v>45</v>
      </c>
      <c r="H203" s="4">
        <v>376</v>
      </c>
      <c r="I203" s="4">
        <v>16920</v>
      </c>
      <c r="J203" s="4">
        <f>Table1[[#This Row],[Total Sale]]*0.2</f>
        <v>3384</v>
      </c>
      <c r="K203" s="4" t="s">
        <v>15</v>
      </c>
    </row>
    <row r="204" spans="3:11" x14ac:dyDescent="0.3">
      <c r="C204" s="3">
        <v>45892</v>
      </c>
      <c r="D204" s="3" t="s">
        <v>34</v>
      </c>
      <c r="E204" s="4" t="s">
        <v>29</v>
      </c>
      <c r="F204" s="4" t="s">
        <v>70</v>
      </c>
      <c r="G204" s="4">
        <v>37</v>
      </c>
      <c r="H204" s="4">
        <v>237</v>
      </c>
      <c r="I204" s="4">
        <v>8769</v>
      </c>
      <c r="J204" s="4">
        <f>Table1[[#This Row],[Total Sale]]*0.2</f>
        <v>1753.8000000000002</v>
      </c>
      <c r="K204" s="4" t="s">
        <v>9</v>
      </c>
    </row>
    <row r="205" spans="3:11" x14ac:dyDescent="0.3">
      <c r="C205" s="3">
        <v>45891</v>
      </c>
      <c r="D205" s="3" t="s">
        <v>46</v>
      </c>
      <c r="E205" s="4" t="s">
        <v>16</v>
      </c>
      <c r="F205" s="4" t="s">
        <v>67</v>
      </c>
      <c r="G205" s="4">
        <v>42</v>
      </c>
      <c r="H205" s="4">
        <v>487</v>
      </c>
      <c r="I205" s="4">
        <v>20454</v>
      </c>
      <c r="J205" s="4">
        <f>Table1[[#This Row],[Total Sale]]*0.2</f>
        <v>4090.8</v>
      </c>
      <c r="K205" s="4" t="s">
        <v>28</v>
      </c>
    </row>
    <row r="206" spans="3:11" x14ac:dyDescent="0.3">
      <c r="C206" s="3">
        <v>45889</v>
      </c>
      <c r="D206" s="3" t="s">
        <v>44</v>
      </c>
      <c r="E206" s="4" t="s">
        <v>6</v>
      </c>
      <c r="F206" s="4" t="s">
        <v>59</v>
      </c>
      <c r="G206" s="4">
        <v>31</v>
      </c>
      <c r="H206" s="4">
        <v>358</v>
      </c>
      <c r="I206" s="4">
        <v>11098</v>
      </c>
      <c r="J206" s="4">
        <f>Table1[[#This Row],[Total Sale]]*0.2</f>
        <v>2219.6</v>
      </c>
      <c r="K206" s="4" t="s">
        <v>23</v>
      </c>
    </row>
    <row r="207" spans="3:11" x14ac:dyDescent="0.3">
      <c r="C207" s="3">
        <v>45888</v>
      </c>
      <c r="D207" s="3" t="s">
        <v>36</v>
      </c>
      <c r="E207" s="4" t="s">
        <v>18</v>
      </c>
      <c r="F207" s="4" t="s">
        <v>56</v>
      </c>
      <c r="G207" s="4">
        <v>33</v>
      </c>
      <c r="H207" s="4">
        <v>313</v>
      </c>
      <c r="I207" s="4">
        <v>10329</v>
      </c>
      <c r="J207" s="4">
        <f>Table1[[#This Row],[Total Sale]]*0.2</f>
        <v>2065.8000000000002</v>
      </c>
      <c r="K207" s="4" t="s">
        <v>22</v>
      </c>
    </row>
    <row r="208" spans="3:11" x14ac:dyDescent="0.3">
      <c r="C208" s="3">
        <v>45888</v>
      </c>
      <c r="D208" s="3" t="s">
        <v>33</v>
      </c>
      <c r="E208" s="4" t="s">
        <v>29</v>
      </c>
      <c r="F208" s="4" t="s">
        <v>67</v>
      </c>
      <c r="G208" s="4">
        <v>50</v>
      </c>
      <c r="H208" s="4">
        <v>385</v>
      </c>
      <c r="I208" s="4">
        <v>19250</v>
      </c>
      <c r="J208" s="4">
        <f>Table1[[#This Row],[Total Sale]]*0.2</f>
        <v>3850</v>
      </c>
      <c r="K208" s="4" t="s">
        <v>17</v>
      </c>
    </row>
    <row r="209" spans="3:11" x14ac:dyDescent="0.3">
      <c r="C209" s="3">
        <v>45887</v>
      </c>
      <c r="D209" s="3" t="s">
        <v>42</v>
      </c>
      <c r="E209" s="4" t="s">
        <v>27</v>
      </c>
      <c r="F209" s="4" t="s">
        <v>55</v>
      </c>
      <c r="G209" s="4">
        <v>11</v>
      </c>
      <c r="H209" s="4">
        <v>232</v>
      </c>
      <c r="I209" s="4">
        <v>2552</v>
      </c>
      <c r="J209" s="4">
        <f>Table1[[#This Row],[Total Sale]]*0.2</f>
        <v>510.40000000000003</v>
      </c>
      <c r="K209" s="4" t="s">
        <v>23</v>
      </c>
    </row>
    <row r="210" spans="3:11" x14ac:dyDescent="0.3">
      <c r="C210" s="3">
        <v>45885</v>
      </c>
      <c r="D210" s="3" t="s">
        <v>35</v>
      </c>
      <c r="E210" s="4" t="s">
        <v>16</v>
      </c>
      <c r="F210" s="4" t="s">
        <v>53</v>
      </c>
      <c r="G210" s="4">
        <v>32</v>
      </c>
      <c r="H210" s="4">
        <v>375</v>
      </c>
      <c r="I210" s="4">
        <v>12000</v>
      </c>
      <c r="J210" s="4">
        <f>Table1[[#This Row],[Total Sale]]*0.2</f>
        <v>2400</v>
      </c>
      <c r="K210" s="4" t="s">
        <v>9</v>
      </c>
    </row>
    <row r="211" spans="3:11" x14ac:dyDescent="0.3">
      <c r="C211" s="3">
        <v>45883</v>
      </c>
      <c r="D211" s="3" t="s">
        <v>44</v>
      </c>
      <c r="E211" s="4" t="s">
        <v>11</v>
      </c>
      <c r="F211" s="4" t="s">
        <v>52</v>
      </c>
      <c r="G211" s="4">
        <v>17</v>
      </c>
      <c r="H211" s="4">
        <v>308</v>
      </c>
      <c r="I211" s="4">
        <v>5236</v>
      </c>
      <c r="J211" s="4">
        <f>Table1[[#This Row],[Total Sale]]*0.2</f>
        <v>1047.2</v>
      </c>
      <c r="K211" s="4" t="s">
        <v>12</v>
      </c>
    </row>
    <row r="212" spans="3:11" x14ac:dyDescent="0.3">
      <c r="C212" s="3">
        <v>45883</v>
      </c>
      <c r="D212" s="3" t="s">
        <v>47</v>
      </c>
      <c r="E212" s="4" t="s">
        <v>18</v>
      </c>
      <c r="F212" s="4" t="s">
        <v>60</v>
      </c>
      <c r="G212" s="4">
        <v>47</v>
      </c>
      <c r="H212" s="4">
        <v>290</v>
      </c>
      <c r="I212" s="4">
        <v>13630</v>
      </c>
      <c r="J212" s="4">
        <f>Table1[[#This Row],[Total Sale]]*0.2</f>
        <v>2726</v>
      </c>
      <c r="K212" s="4" t="s">
        <v>28</v>
      </c>
    </row>
    <row r="213" spans="3:11" x14ac:dyDescent="0.3">
      <c r="C213" s="3">
        <v>45881</v>
      </c>
      <c r="D213" s="3" t="s">
        <v>50</v>
      </c>
      <c r="E213" s="4" t="s">
        <v>27</v>
      </c>
      <c r="F213" s="4" t="s">
        <v>53</v>
      </c>
      <c r="G213" s="4">
        <v>35</v>
      </c>
      <c r="H213" s="4">
        <v>409</v>
      </c>
      <c r="I213" s="4">
        <v>14315</v>
      </c>
      <c r="J213" s="4">
        <f>Table1[[#This Row],[Total Sale]]*0.2</f>
        <v>2863</v>
      </c>
      <c r="K213" s="4" t="s">
        <v>19</v>
      </c>
    </row>
    <row r="214" spans="3:11" x14ac:dyDescent="0.3">
      <c r="C214" s="3">
        <v>45880</v>
      </c>
      <c r="D214" s="3" t="s">
        <v>49</v>
      </c>
      <c r="E214" s="4" t="s">
        <v>27</v>
      </c>
      <c r="F214" s="4" t="s">
        <v>68</v>
      </c>
      <c r="G214" s="4">
        <v>17</v>
      </c>
      <c r="H214" s="4">
        <v>233</v>
      </c>
      <c r="I214" s="4">
        <v>3961</v>
      </c>
      <c r="J214" s="4">
        <f>Table1[[#This Row],[Total Sale]]*0.2</f>
        <v>792.2</v>
      </c>
      <c r="K214" s="4" t="s">
        <v>21</v>
      </c>
    </row>
    <row r="215" spans="3:11" x14ac:dyDescent="0.3">
      <c r="C215" s="3">
        <v>45878</v>
      </c>
      <c r="D215" s="3" t="s">
        <v>37</v>
      </c>
      <c r="E215" s="4" t="s">
        <v>29</v>
      </c>
      <c r="F215" s="4" t="s">
        <v>51</v>
      </c>
      <c r="G215" s="4">
        <v>38</v>
      </c>
      <c r="H215" s="4">
        <v>207</v>
      </c>
      <c r="I215" s="4">
        <v>7866</v>
      </c>
      <c r="J215" s="4">
        <f>Table1[[#This Row],[Total Sale]]*0.2</f>
        <v>1573.2</v>
      </c>
      <c r="K215" s="4" t="s">
        <v>23</v>
      </c>
    </row>
    <row r="216" spans="3:11" x14ac:dyDescent="0.3">
      <c r="C216" s="3">
        <v>45877</v>
      </c>
      <c r="D216" s="3" t="s">
        <v>35</v>
      </c>
      <c r="E216" s="4" t="s">
        <v>6</v>
      </c>
      <c r="F216" s="4" t="s">
        <v>53</v>
      </c>
      <c r="G216" s="4">
        <v>32</v>
      </c>
      <c r="H216" s="4">
        <v>371</v>
      </c>
      <c r="I216" s="4">
        <v>11872</v>
      </c>
      <c r="J216" s="4">
        <f>Table1[[#This Row],[Total Sale]]*0.2</f>
        <v>2374.4</v>
      </c>
      <c r="K216" s="4" t="s">
        <v>21</v>
      </c>
    </row>
    <row r="217" spans="3:11" x14ac:dyDescent="0.3">
      <c r="C217" s="3">
        <v>45877</v>
      </c>
      <c r="D217" s="3" t="s">
        <v>35</v>
      </c>
      <c r="E217" s="4" t="s">
        <v>29</v>
      </c>
      <c r="F217" s="4" t="s">
        <v>55</v>
      </c>
      <c r="G217" s="4">
        <v>13</v>
      </c>
      <c r="H217" s="4">
        <v>239</v>
      </c>
      <c r="I217" s="4">
        <v>3107</v>
      </c>
      <c r="J217" s="4">
        <f>Table1[[#This Row],[Total Sale]]*0.2</f>
        <v>621.40000000000009</v>
      </c>
      <c r="K217" s="4" t="s">
        <v>7</v>
      </c>
    </row>
    <row r="218" spans="3:11" x14ac:dyDescent="0.3">
      <c r="C218" s="3">
        <v>45875</v>
      </c>
      <c r="D218" s="3" t="s">
        <v>32</v>
      </c>
      <c r="E218" s="4" t="s">
        <v>11</v>
      </c>
      <c r="F218" s="4" t="s">
        <v>66</v>
      </c>
      <c r="G218" s="4">
        <v>24</v>
      </c>
      <c r="H218" s="4">
        <v>242</v>
      </c>
      <c r="I218" s="4">
        <v>5808</v>
      </c>
      <c r="J218" s="4">
        <f>Table1[[#This Row],[Total Sale]]*0.2</f>
        <v>1161.6000000000001</v>
      </c>
      <c r="K218" s="4" t="s">
        <v>8</v>
      </c>
    </row>
    <row r="219" spans="3:11" x14ac:dyDescent="0.3">
      <c r="C219" s="3">
        <v>45875</v>
      </c>
      <c r="D219" s="3" t="s">
        <v>49</v>
      </c>
      <c r="E219" s="4" t="s">
        <v>6</v>
      </c>
      <c r="F219" s="4" t="s">
        <v>54</v>
      </c>
      <c r="G219" s="4">
        <v>38</v>
      </c>
      <c r="H219" s="4">
        <v>363</v>
      </c>
      <c r="I219" s="4">
        <v>13794</v>
      </c>
      <c r="J219" s="4">
        <f>Table1[[#This Row],[Total Sale]]*0.2</f>
        <v>2758.8</v>
      </c>
      <c r="K219" s="4" t="s">
        <v>17</v>
      </c>
    </row>
    <row r="220" spans="3:11" x14ac:dyDescent="0.3">
      <c r="C220" s="3">
        <v>45874</v>
      </c>
      <c r="D220" s="3" t="s">
        <v>44</v>
      </c>
      <c r="E220" s="4" t="s">
        <v>13</v>
      </c>
      <c r="F220" s="4" t="s">
        <v>65</v>
      </c>
      <c r="G220" s="4">
        <v>13</v>
      </c>
      <c r="H220" s="4">
        <v>298</v>
      </c>
      <c r="I220" s="4">
        <v>3874</v>
      </c>
      <c r="J220" s="4">
        <f>Table1[[#This Row],[Total Sale]]*0.2</f>
        <v>774.80000000000007</v>
      </c>
      <c r="K220" s="4" t="s">
        <v>17</v>
      </c>
    </row>
    <row r="221" spans="3:11" x14ac:dyDescent="0.3">
      <c r="C221" s="3">
        <v>45873</v>
      </c>
      <c r="D221" s="3" t="s">
        <v>45</v>
      </c>
      <c r="E221" s="4" t="s">
        <v>25</v>
      </c>
      <c r="F221" s="4" t="s">
        <v>64</v>
      </c>
      <c r="G221" s="4">
        <v>17</v>
      </c>
      <c r="H221" s="4">
        <v>215</v>
      </c>
      <c r="I221" s="4">
        <v>3655</v>
      </c>
      <c r="J221" s="4">
        <f>Table1[[#This Row],[Total Sale]]*0.2</f>
        <v>731</v>
      </c>
      <c r="K221" s="4" t="s">
        <v>23</v>
      </c>
    </row>
    <row r="222" spans="3:11" x14ac:dyDescent="0.3">
      <c r="C222" s="3">
        <v>45873</v>
      </c>
      <c r="D222" s="3" t="s">
        <v>39</v>
      </c>
      <c r="E222" s="4" t="s">
        <v>29</v>
      </c>
      <c r="F222" s="4" t="s">
        <v>65</v>
      </c>
      <c r="G222" s="4">
        <v>11</v>
      </c>
      <c r="H222" s="4">
        <v>246</v>
      </c>
      <c r="I222" s="4">
        <v>2706</v>
      </c>
      <c r="J222" s="4">
        <f>Table1[[#This Row],[Total Sale]]*0.2</f>
        <v>541.20000000000005</v>
      </c>
      <c r="K222" s="4" t="s">
        <v>20</v>
      </c>
    </row>
    <row r="223" spans="3:11" x14ac:dyDescent="0.3">
      <c r="C223" s="3">
        <v>45871</v>
      </c>
      <c r="D223" s="3" t="s">
        <v>32</v>
      </c>
      <c r="E223" s="4" t="s">
        <v>13</v>
      </c>
      <c r="F223" s="4" t="s">
        <v>54</v>
      </c>
      <c r="G223" s="4">
        <v>22</v>
      </c>
      <c r="H223" s="4">
        <v>332</v>
      </c>
      <c r="I223" s="4">
        <v>7304</v>
      </c>
      <c r="J223" s="4">
        <f>Table1[[#This Row],[Total Sale]]*0.2</f>
        <v>1460.8000000000002</v>
      </c>
      <c r="K223" s="4" t="s">
        <v>20</v>
      </c>
    </row>
    <row r="224" spans="3:11" x14ac:dyDescent="0.3">
      <c r="C224" s="3">
        <v>45871</v>
      </c>
      <c r="D224" s="3" t="s">
        <v>50</v>
      </c>
      <c r="E224" s="4" t="s">
        <v>13</v>
      </c>
      <c r="F224" s="4" t="s">
        <v>68</v>
      </c>
      <c r="G224" s="4">
        <v>43</v>
      </c>
      <c r="H224" s="4">
        <v>285</v>
      </c>
      <c r="I224" s="4">
        <v>12255</v>
      </c>
      <c r="J224" s="4">
        <f>Table1[[#This Row],[Total Sale]]*0.2</f>
        <v>2451</v>
      </c>
      <c r="K224" s="4" t="s">
        <v>21</v>
      </c>
    </row>
    <row r="225" spans="3:11" x14ac:dyDescent="0.3">
      <c r="C225" s="3">
        <v>45870</v>
      </c>
      <c r="D225" s="3" t="s">
        <v>49</v>
      </c>
      <c r="E225" s="4" t="s">
        <v>6</v>
      </c>
      <c r="F225" s="4" t="s">
        <v>68</v>
      </c>
      <c r="G225" s="4">
        <v>34</v>
      </c>
      <c r="H225" s="4">
        <v>338</v>
      </c>
      <c r="I225" s="4">
        <v>11492</v>
      </c>
      <c r="J225" s="4">
        <f>Table1[[#This Row],[Total Sale]]*0.2</f>
        <v>2298.4</v>
      </c>
      <c r="K225" s="4" t="s">
        <v>15</v>
      </c>
    </row>
    <row r="226" spans="3:11" x14ac:dyDescent="0.3">
      <c r="C226" s="3">
        <v>45870</v>
      </c>
      <c r="D226" s="3" t="s">
        <v>50</v>
      </c>
      <c r="E226" s="4" t="s">
        <v>16</v>
      </c>
      <c r="F226" s="4" t="s">
        <v>59</v>
      </c>
      <c r="G226" s="4">
        <v>13</v>
      </c>
      <c r="H226" s="4">
        <v>409</v>
      </c>
      <c r="I226" s="4">
        <v>5317</v>
      </c>
      <c r="J226" s="4">
        <f>Table1[[#This Row],[Total Sale]]*0.2</f>
        <v>1063.4000000000001</v>
      </c>
      <c r="K226" s="4" t="s">
        <v>8</v>
      </c>
    </row>
    <row r="227" spans="3:11" x14ac:dyDescent="0.3">
      <c r="C227" s="3">
        <v>45868</v>
      </c>
      <c r="D227" s="3" t="s">
        <v>46</v>
      </c>
      <c r="E227" s="4" t="s">
        <v>13</v>
      </c>
      <c r="F227" s="4" t="s">
        <v>69</v>
      </c>
      <c r="G227" s="4">
        <v>26</v>
      </c>
      <c r="H227" s="4">
        <v>472</v>
      </c>
      <c r="I227" s="4">
        <v>12272</v>
      </c>
      <c r="J227" s="4">
        <f>Table1[[#This Row],[Total Sale]]*0.2</f>
        <v>2454.4</v>
      </c>
      <c r="K227" s="4" t="s">
        <v>12</v>
      </c>
    </row>
    <row r="228" spans="3:11" x14ac:dyDescent="0.3">
      <c r="C228" s="3">
        <v>45868</v>
      </c>
      <c r="D228" s="3" t="s">
        <v>39</v>
      </c>
      <c r="E228" s="4" t="s">
        <v>29</v>
      </c>
      <c r="F228" s="4" t="s">
        <v>51</v>
      </c>
      <c r="G228" s="4">
        <v>42</v>
      </c>
      <c r="H228" s="4">
        <v>465</v>
      </c>
      <c r="I228" s="4">
        <v>19530</v>
      </c>
      <c r="J228" s="4">
        <f>Table1[[#This Row],[Total Sale]]*0.2</f>
        <v>3906</v>
      </c>
      <c r="K228" s="4" t="s">
        <v>7</v>
      </c>
    </row>
    <row r="229" spans="3:11" x14ac:dyDescent="0.3">
      <c r="C229" s="3">
        <v>45867</v>
      </c>
      <c r="D229" s="3" t="s">
        <v>36</v>
      </c>
      <c r="E229" s="4" t="s">
        <v>26</v>
      </c>
      <c r="F229" s="4" t="s">
        <v>56</v>
      </c>
      <c r="G229" s="4">
        <v>44</v>
      </c>
      <c r="H229" s="4">
        <v>340</v>
      </c>
      <c r="I229" s="4">
        <v>14960</v>
      </c>
      <c r="J229" s="4">
        <f>Table1[[#This Row],[Total Sale]]*0.2</f>
        <v>2992</v>
      </c>
      <c r="K229" s="4" t="s">
        <v>19</v>
      </c>
    </row>
    <row r="230" spans="3:11" x14ac:dyDescent="0.3">
      <c r="C230" s="3">
        <v>45867</v>
      </c>
      <c r="D230" s="3" t="s">
        <v>37</v>
      </c>
      <c r="E230" s="4" t="s">
        <v>16</v>
      </c>
      <c r="F230" s="4" t="s">
        <v>55</v>
      </c>
      <c r="G230" s="4">
        <v>11</v>
      </c>
      <c r="H230" s="4">
        <v>310</v>
      </c>
      <c r="I230" s="4">
        <v>3410</v>
      </c>
      <c r="J230" s="4">
        <f>Table1[[#This Row],[Total Sale]]*0.2</f>
        <v>682</v>
      </c>
      <c r="K230" s="4" t="s">
        <v>9</v>
      </c>
    </row>
    <row r="231" spans="3:11" x14ac:dyDescent="0.3">
      <c r="C231" s="3">
        <v>45866</v>
      </c>
      <c r="D231" s="3" t="s">
        <v>49</v>
      </c>
      <c r="E231" s="4" t="s">
        <v>10</v>
      </c>
      <c r="F231" s="4" t="s">
        <v>69</v>
      </c>
      <c r="G231" s="4">
        <v>39</v>
      </c>
      <c r="H231" s="4">
        <v>342</v>
      </c>
      <c r="I231" s="4">
        <v>13338</v>
      </c>
      <c r="J231" s="4">
        <f>Table1[[#This Row],[Total Sale]]*0.2</f>
        <v>2667.6000000000004</v>
      </c>
      <c r="K231" s="4" t="s">
        <v>21</v>
      </c>
    </row>
    <row r="232" spans="3:11" x14ac:dyDescent="0.3">
      <c r="C232" s="3">
        <v>45866</v>
      </c>
      <c r="D232" s="3" t="s">
        <v>42</v>
      </c>
      <c r="E232" s="4" t="s">
        <v>6</v>
      </c>
      <c r="F232" s="4" t="s">
        <v>68</v>
      </c>
      <c r="G232" s="4">
        <v>23</v>
      </c>
      <c r="H232" s="4">
        <v>303</v>
      </c>
      <c r="I232" s="4">
        <v>6969</v>
      </c>
      <c r="J232" s="4">
        <f>Table1[[#This Row],[Total Sale]]*0.2</f>
        <v>1393.8000000000002</v>
      </c>
      <c r="K232" s="4" t="s">
        <v>20</v>
      </c>
    </row>
    <row r="233" spans="3:11" x14ac:dyDescent="0.3">
      <c r="C233" s="3">
        <v>45865</v>
      </c>
      <c r="D233" s="3" t="s">
        <v>33</v>
      </c>
      <c r="E233" s="4" t="s">
        <v>10</v>
      </c>
      <c r="F233" s="4" t="s">
        <v>58</v>
      </c>
      <c r="G233" s="4">
        <v>16</v>
      </c>
      <c r="H233" s="4">
        <v>245</v>
      </c>
      <c r="I233" s="4">
        <v>3920</v>
      </c>
      <c r="J233" s="4">
        <f>Table1[[#This Row],[Total Sale]]*0.2</f>
        <v>784</v>
      </c>
      <c r="K233" s="4" t="s">
        <v>7</v>
      </c>
    </row>
    <row r="234" spans="3:11" x14ac:dyDescent="0.3">
      <c r="C234" s="3">
        <v>45864</v>
      </c>
      <c r="D234" s="3" t="s">
        <v>39</v>
      </c>
      <c r="E234" s="4" t="s">
        <v>11</v>
      </c>
      <c r="F234" s="4" t="s">
        <v>67</v>
      </c>
      <c r="G234" s="4">
        <v>29</v>
      </c>
      <c r="H234" s="4">
        <v>500</v>
      </c>
      <c r="I234" s="4">
        <v>14500</v>
      </c>
      <c r="J234" s="4">
        <f>Table1[[#This Row],[Total Sale]]*0.2</f>
        <v>2900</v>
      </c>
      <c r="K234" s="4" t="s">
        <v>20</v>
      </c>
    </row>
    <row r="235" spans="3:11" x14ac:dyDescent="0.3">
      <c r="C235" s="3">
        <v>45863</v>
      </c>
      <c r="D235" s="3" t="s">
        <v>44</v>
      </c>
      <c r="E235" s="4" t="s">
        <v>13</v>
      </c>
      <c r="F235" s="4" t="s">
        <v>70</v>
      </c>
      <c r="G235" s="4">
        <v>25</v>
      </c>
      <c r="H235" s="4">
        <v>417</v>
      </c>
      <c r="I235" s="4">
        <v>10425</v>
      </c>
      <c r="J235" s="4">
        <f>Table1[[#This Row],[Total Sale]]*0.2</f>
        <v>2085</v>
      </c>
      <c r="K235" s="4" t="s">
        <v>23</v>
      </c>
    </row>
    <row r="236" spans="3:11" x14ac:dyDescent="0.3">
      <c r="C236" s="3">
        <v>45863</v>
      </c>
      <c r="D236" s="3" t="s">
        <v>42</v>
      </c>
      <c r="E236" s="4" t="s">
        <v>18</v>
      </c>
      <c r="F236" s="4" t="s">
        <v>54</v>
      </c>
      <c r="G236" s="4">
        <v>35</v>
      </c>
      <c r="H236" s="4">
        <v>335</v>
      </c>
      <c r="I236" s="4">
        <v>11725</v>
      </c>
      <c r="J236" s="4">
        <f>Table1[[#This Row],[Total Sale]]*0.2</f>
        <v>2345</v>
      </c>
      <c r="K236" s="4" t="s">
        <v>14</v>
      </c>
    </row>
    <row r="237" spans="3:11" x14ac:dyDescent="0.3">
      <c r="C237" s="3">
        <v>45862</v>
      </c>
      <c r="D237" s="3" t="s">
        <v>48</v>
      </c>
      <c r="E237" s="4" t="s">
        <v>27</v>
      </c>
      <c r="F237" s="4" t="s">
        <v>57</v>
      </c>
      <c r="G237" s="4">
        <v>29</v>
      </c>
      <c r="H237" s="4">
        <v>298</v>
      </c>
      <c r="I237" s="4">
        <v>8642</v>
      </c>
      <c r="J237" s="4">
        <f>Table1[[#This Row],[Total Sale]]*0.2</f>
        <v>1728.4</v>
      </c>
      <c r="K237" s="4" t="s">
        <v>24</v>
      </c>
    </row>
    <row r="238" spans="3:11" x14ac:dyDescent="0.3">
      <c r="C238" s="3">
        <v>45861</v>
      </c>
      <c r="D238" s="3" t="s">
        <v>31</v>
      </c>
      <c r="E238" s="4" t="s">
        <v>25</v>
      </c>
      <c r="F238" s="4" t="s">
        <v>60</v>
      </c>
      <c r="G238" s="4">
        <v>15</v>
      </c>
      <c r="H238" s="4">
        <v>356</v>
      </c>
      <c r="I238" s="4">
        <v>5340</v>
      </c>
      <c r="J238" s="4">
        <f>Table1[[#This Row],[Total Sale]]*0.2</f>
        <v>1068</v>
      </c>
      <c r="K238" s="4" t="s">
        <v>8</v>
      </c>
    </row>
    <row r="239" spans="3:11" x14ac:dyDescent="0.3">
      <c r="C239" s="3">
        <v>45860</v>
      </c>
      <c r="D239" s="3" t="s">
        <v>34</v>
      </c>
      <c r="E239" s="4" t="s">
        <v>26</v>
      </c>
      <c r="F239" s="4" t="s">
        <v>65</v>
      </c>
      <c r="G239" s="4">
        <v>22</v>
      </c>
      <c r="H239" s="4">
        <v>437</v>
      </c>
      <c r="I239" s="4">
        <v>9614</v>
      </c>
      <c r="J239" s="4">
        <f>Table1[[#This Row],[Total Sale]]*0.2</f>
        <v>1922.8000000000002</v>
      </c>
      <c r="K239" s="4" t="s">
        <v>17</v>
      </c>
    </row>
    <row r="240" spans="3:11" x14ac:dyDescent="0.3">
      <c r="C240" s="3">
        <v>45860</v>
      </c>
      <c r="D240" s="3" t="s">
        <v>37</v>
      </c>
      <c r="E240" s="4" t="s">
        <v>10</v>
      </c>
      <c r="F240" s="4" t="s">
        <v>62</v>
      </c>
      <c r="G240" s="4">
        <v>32</v>
      </c>
      <c r="H240" s="4">
        <v>377</v>
      </c>
      <c r="I240" s="4">
        <v>12064</v>
      </c>
      <c r="J240" s="4">
        <f>Table1[[#This Row],[Total Sale]]*0.2</f>
        <v>2412.8000000000002</v>
      </c>
      <c r="K240" s="4" t="s">
        <v>15</v>
      </c>
    </row>
    <row r="241" spans="3:11" x14ac:dyDescent="0.3">
      <c r="C241" s="3">
        <v>45859</v>
      </c>
      <c r="D241" s="3" t="s">
        <v>35</v>
      </c>
      <c r="E241" s="4" t="s">
        <v>18</v>
      </c>
      <c r="F241" s="4" t="s">
        <v>55</v>
      </c>
      <c r="G241" s="4">
        <v>18</v>
      </c>
      <c r="H241" s="4">
        <v>487</v>
      </c>
      <c r="I241" s="4">
        <v>8766</v>
      </c>
      <c r="J241" s="4">
        <f>Table1[[#This Row],[Total Sale]]*0.2</f>
        <v>1753.2</v>
      </c>
      <c r="K241" s="4" t="s">
        <v>23</v>
      </c>
    </row>
    <row r="242" spans="3:11" x14ac:dyDescent="0.3">
      <c r="C242" s="3">
        <v>45859</v>
      </c>
      <c r="D242" s="3" t="s">
        <v>45</v>
      </c>
      <c r="E242" s="4" t="s">
        <v>18</v>
      </c>
      <c r="F242" s="4" t="s">
        <v>67</v>
      </c>
      <c r="G242" s="4">
        <v>40</v>
      </c>
      <c r="H242" s="4">
        <v>287</v>
      </c>
      <c r="I242" s="4">
        <v>11480</v>
      </c>
      <c r="J242" s="4">
        <f>Table1[[#This Row],[Total Sale]]*0.2</f>
        <v>2296</v>
      </c>
      <c r="K242" s="4" t="s">
        <v>9</v>
      </c>
    </row>
    <row r="243" spans="3:11" x14ac:dyDescent="0.3">
      <c r="C243" s="3">
        <v>45857</v>
      </c>
      <c r="D243" s="3" t="s">
        <v>43</v>
      </c>
      <c r="E243" s="4" t="s">
        <v>29</v>
      </c>
      <c r="F243" s="4" t="s">
        <v>58</v>
      </c>
      <c r="G243" s="4">
        <v>28</v>
      </c>
      <c r="H243" s="4">
        <v>358</v>
      </c>
      <c r="I243" s="4">
        <v>10024</v>
      </c>
      <c r="J243" s="4">
        <f>Table1[[#This Row],[Total Sale]]*0.2</f>
        <v>2004.8000000000002</v>
      </c>
      <c r="K243" s="4" t="s">
        <v>24</v>
      </c>
    </row>
    <row r="244" spans="3:11" x14ac:dyDescent="0.3">
      <c r="C244" s="3">
        <v>45856</v>
      </c>
      <c r="D244" s="3" t="s">
        <v>43</v>
      </c>
      <c r="E244" s="4" t="s">
        <v>25</v>
      </c>
      <c r="F244" s="4" t="s">
        <v>55</v>
      </c>
      <c r="G244" s="4">
        <v>25</v>
      </c>
      <c r="H244" s="4">
        <v>219</v>
      </c>
      <c r="I244" s="4">
        <v>5475</v>
      </c>
      <c r="J244" s="4">
        <f>Table1[[#This Row],[Total Sale]]*0.2</f>
        <v>1095</v>
      </c>
      <c r="K244" s="4" t="s">
        <v>7</v>
      </c>
    </row>
    <row r="245" spans="3:11" x14ac:dyDescent="0.3">
      <c r="C245" s="3">
        <v>45854</v>
      </c>
      <c r="D245" s="3" t="s">
        <v>47</v>
      </c>
      <c r="E245" s="4" t="s">
        <v>27</v>
      </c>
      <c r="F245" s="4" t="s">
        <v>62</v>
      </c>
      <c r="G245" s="4">
        <v>49</v>
      </c>
      <c r="H245" s="4">
        <v>397</v>
      </c>
      <c r="I245" s="4">
        <v>19453</v>
      </c>
      <c r="J245" s="4">
        <f>Table1[[#This Row],[Total Sale]]*0.2</f>
        <v>3890.6000000000004</v>
      </c>
      <c r="K245" s="4" t="s">
        <v>12</v>
      </c>
    </row>
    <row r="246" spans="3:11" x14ac:dyDescent="0.3">
      <c r="C246" s="3">
        <v>45854</v>
      </c>
      <c r="D246" s="3" t="s">
        <v>36</v>
      </c>
      <c r="E246" s="4" t="s">
        <v>25</v>
      </c>
      <c r="F246" s="4" t="s">
        <v>55</v>
      </c>
      <c r="G246" s="4">
        <v>12</v>
      </c>
      <c r="H246" s="4">
        <v>434</v>
      </c>
      <c r="I246" s="4">
        <v>5208</v>
      </c>
      <c r="J246" s="4">
        <f>Table1[[#This Row],[Total Sale]]*0.2</f>
        <v>1041.6000000000001</v>
      </c>
      <c r="K246" s="4" t="s">
        <v>28</v>
      </c>
    </row>
    <row r="247" spans="3:11" x14ac:dyDescent="0.3">
      <c r="C247" s="3">
        <v>45854</v>
      </c>
      <c r="D247" s="3" t="s">
        <v>41</v>
      </c>
      <c r="E247" s="4" t="s">
        <v>18</v>
      </c>
      <c r="F247" s="4" t="s">
        <v>51</v>
      </c>
      <c r="G247" s="4">
        <v>15</v>
      </c>
      <c r="H247" s="4">
        <v>460</v>
      </c>
      <c r="I247" s="4">
        <v>6900</v>
      </c>
      <c r="J247" s="4">
        <f>Table1[[#This Row],[Total Sale]]*0.2</f>
        <v>1380</v>
      </c>
      <c r="K247" s="4" t="s">
        <v>7</v>
      </c>
    </row>
    <row r="248" spans="3:11" x14ac:dyDescent="0.3">
      <c r="C248" s="3">
        <v>45853</v>
      </c>
      <c r="D248" s="3" t="s">
        <v>38</v>
      </c>
      <c r="E248" s="4" t="s">
        <v>25</v>
      </c>
      <c r="F248" s="4" t="s">
        <v>56</v>
      </c>
      <c r="G248" s="4">
        <v>41</v>
      </c>
      <c r="H248" s="4">
        <v>232</v>
      </c>
      <c r="I248" s="4">
        <v>9512</v>
      </c>
      <c r="J248" s="4">
        <f>Table1[[#This Row],[Total Sale]]*0.2</f>
        <v>1902.4</v>
      </c>
      <c r="K248" s="4" t="s">
        <v>28</v>
      </c>
    </row>
    <row r="249" spans="3:11" x14ac:dyDescent="0.3">
      <c r="C249" s="3">
        <v>45853</v>
      </c>
      <c r="D249" s="3" t="s">
        <v>42</v>
      </c>
      <c r="E249" s="4" t="s">
        <v>13</v>
      </c>
      <c r="F249" s="4" t="s">
        <v>55</v>
      </c>
      <c r="G249" s="4">
        <v>11</v>
      </c>
      <c r="H249" s="4">
        <v>421</v>
      </c>
      <c r="I249" s="4">
        <v>4631</v>
      </c>
      <c r="J249" s="4">
        <f>Table1[[#This Row],[Total Sale]]*0.2</f>
        <v>926.2</v>
      </c>
      <c r="K249" s="4" t="s">
        <v>22</v>
      </c>
    </row>
    <row r="250" spans="3:11" x14ac:dyDescent="0.3">
      <c r="C250" s="3">
        <v>45852</v>
      </c>
      <c r="D250" s="3" t="s">
        <v>37</v>
      </c>
      <c r="E250" s="4" t="s">
        <v>11</v>
      </c>
      <c r="F250" s="4" t="s">
        <v>64</v>
      </c>
      <c r="G250" s="4">
        <v>45</v>
      </c>
      <c r="H250" s="4">
        <v>222</v>
      </c>
      <c r="I250" s="4">
        <v>9990</v>
      </c>
      <c r="J250" s="4">
        <f>Table1[[#This Row],[Total Sale]]*0.2</f>
        <v>1998</v>
      </c>
      <c r="K250" s="4" t="s">
        <v>28</v>
      </c>
    </row>
    <row r="251" spans="3:11" x14ac:dyDescent="0.3">
      <c r="C251" s="3">
        <v>45852</v>
      </c>
      <c r="D251" s="3" t="s">
        <v>42</v>
      </c>
      <c r="E251" s="4" t="s">
        <v>10</v>
      </c>
      <c r="F251" s="4" t="s">
        <v>70</v>
      </c>
      <c r="G251" s="4">
        <v>16</v>
      </c>
      <c r="H251" s="4">
        <v>485</v>
      </c>
      <c r="I251" s="4">
        <v>7760</v>
      </c>
      <c r="J251" s="4">
        <f>Table1[[#This Row],[Total Sale]]*0.2</f>
        <v>1552</v>
      </c>
      <c r="K251" s="4" t="s">
        <v>15</v>
      </c>
    </row>
    <row r="252" spans="3:11" x14ac:dyDescent="0.3">
      <c r="C252" s="3">
        <v>45852</v>
      </c>
      <c r="D252" s="3" t="s">
        <v>49</v>
      </c>
      <c r="E252" s="4" t="s">
        <v>18</v>
      </c>
      <c r="F252" s="4" t="s">
        <v>68</v>
      </c>
      <c r="G252" s="4">
        <v>10</v>
      </c>
      <c r="H252" s="4">
        <v>426</v>
      </c>
      <c r="I252" s="4">
        <v>4260</v>
      </c>
      <c r="J252" s="4">
        <f>Table1[[#This Row],[Total Sale]]*0.2</f>
        <v>852</v>
      </c>
      <c r="K252" s="4" t="s">
        <v>22</v>
      </c>
    </row>
    <row r="253" spans="3:11" x14ac:dyDescent="0.3">
      <c r="C253" s="3">
        <v>45849</v>
      </c>
      <c r="D253" s="3" t="s">
        <v>32</v>
      </c>
      <c r="E253" s="4" t="s">
        <v>29</v>
      </c>
      <c r="F253" s="4" t="s">
        <v>68</v>
      </c>
      <c r="G253" s="4">
        <v>43</v>
      </c>
      <c r="H253" s="4">
        <v>396</v>
      </c>
      <c r="I253" s="4">
        <v>17028</v>
      </c>
      <c r="J253" s="4">
        <f>Table1[[#This Row],[Total Sale]]*0.2</f>
        <v>3405.6000000000004</v>
      </c>
      <c r="K253" s="4" t="s">
        <v>19</v>
      </c>
    </row>
    <row r="254" spans="3:11" x14ac:dyDescent="0.3">
      <c r="C254" s="3">
        <v>45846</v>
      </c>
      <c r="D254" s="3" t="s">
        <v>48</v>
      </c>
      <c r="E254" s="4" t="s">
        <v>6</v>
      </c>
      <c r="F254" s="4" t="s">
        <v>52</v>
      </c>
      <c r="G254" s="4">
        <v>16</v>
      </c>
      <c r="H254" s="4">
        <v>471</v>
      </c>
      <c r="I254" s="4">
        <v>7536</v>
      </c>
      <c r="J254" s="4">
        <f>Table1[[#This Row],[Total Sale]]*0.2</f>
        <v>1507.2</v>
      </c>
      <c r="K254" s="4" t="s">
        <v>19</v>
      </c>
    </row>
    <row r="255" spans="3:11" x14ac:dyDescent="0.3">
      <c r="C255" s="3">
        <v>45846</v>
      </c>
      <c r="D255" s="3" t="s">
        <v>50</v>
      </c>
      <c r="E255" s="4" t="s">
        <v>6</v>
      </c>
      <c r="F255" s="4" t="s">
        <v>68</v>
      </c>
      <c r="G255" s="4">
        <v>39</v>
      </c>
      <c r="H255" s="4">
        <v>453</v>
      </c>
      <c r="I255" s="4">
        <v>17667</v>
      </c>
      <c r="J255" s="4">
        <f>Table1[[#This Row],[Total Sale]]*0.2</f>
        <v>3533.4</v>
      </c>
      <c r="K255" s="4" t="s">
        <v>8</v>
      </c>
    </row>
    <row r="256" spans="3:11" x14ac:dyDescent="0.3">
      <c r="C256" s="3">
        <v>45846</v>
      </c>
      <c r="D256" s="3" t="s">
        <v>34</v>
      </c>
      <c r="E256" s="4" t="s">
        <v>18</v>
      </c>
      <c r="F256" s="4" t="s">
        <v>67</v>
      </c>
      <c r="G256" s="4">
        <v>38</v>
      </c>
      <c r="H256" s="4">
        <v>291</v>
      </c>
      <c r="I256" s="4">
        <v>11058</v>
      </c>
      <c r="J256" s="4">
        <f>Table1[[#This Row],[Total Sale]]*0.2</f>
        <v>2211.6</v>
      </c>
      <c r="K256" s="4" t="s">
        <v>7</v>
      </c>
    </row>
    <row r="257" spans="3:11" x14ac:dyDescent="0.3">
      <c r="C257" s="3">
        <v>45846</v>
      </c>
      <c r="D257" s="3" t="s">
        <v>45</v>
      </c>
      <c r="E257" s="4" t="s">
        <v>16</v>
      </c>
      <c r="F257" s="4" t="s">
        <v>61</v>
      </c>
      <c r="G257" s="4">
        <v>40</v>
      </c>
      <c r="H257" s="4">
        <v>349</v>
      </c>
      <c r="I257" s="4">
        <v>13960</v>
      </c>
      <c r="J257" s="4">
        <f>Table1[[#This Row],[Total Sale]]*0.2</f>
        <v>2792</v>
      </c>
      <c r="K257" s="4" t="s">
        <v>21</v>
      </c>
    </row>
    <row r="258" spans="3:11" x14ac:dyDescent="0.3">
      <c r="C258" s="3">
        <v>45845</v>
      </c>
      <c r="D258" s="3" t="s">
        <v>33</v>
      </c>
      <c r="E258" s="4" t="s">
        <v>27</v>
      </c>
      <c r="F258" s="4" t="s">
        <v>54</v>
      </c>
      <c r="G258" s="4">
        <v>17</v>
      </c>
      <c r="H258" s="4">
        <v>281</v>
      </c>
      <c r="I258" s="4">
        <v>4777</v>
      </c>
      <c r="J258" s="4">
        <f>Table1[[#This Row],[Total Sale]]*0.2</f>
        <v>955.40000000000009</v>
      </c>
      <c r="K258" s="4" t="s">
        <v>9</v>
      </c>
    </row>
    <row r="259" spans="3:11" x14ac:dyDescent="0.3">
      <c r="C259" s="3">
        <v>45844</v>
      </c>
      <c r="D259" s="3" t="s">
        <v>37</v>
      </c>
      <c r="E259" s="4" t="s">
        <v>16</v>
      </c>
      <c r="F259" s="4" t="s">
        <v>55</v>
      </c>
      <c r="G259" s="4">
        <v>19</v>
      </c>
      <c r="H259" s="4">
        <v>430</v>
      </c>
      <c r="I259" s="4">
        <v>8170</v>
      </c>
      <c r="J259" s="4">
        <f>Table1[[#This Row],[Total Sale]]*0.2</f>
        <v>1634</v>
      </c>
      <c r="K259" s="4" t="s">
        <v>12</v>
      </c>
    </row>
    <row r="260" spans="3:11" x14ac:dyDescent="0.3">
      <c r="C260" s="3">
        <v>45842</v>
      </c>
      <c r="D260" s="3" t="s">
        <v>45</v>
      </c>
      <c r="E260" s="4" t="s">
        <v>27</v>
      </c>
      <c r="F260" s="4" t="s">
        <v>65</v>
      </c>
      <c r="G260" s="4">
        <v>22</v>
      </c>
      <c r="H260" s="4">
        <v>399</v>
      </c>
      <c r="I260" s="4">
        <v>8778</v>
      </c>
      <c r="J260" s="4">
        <f>Table1[[#This Row],[Total Sale]]*0.2</f>
        <v>1755.6000000000001</v>
      </c>
      <c r="K260" s="4" t="s">
        <v>9</v>
      </c>
    </row>
    <row r="261" spans="3:11" x14ac:dyDescent="0.3">
      <c r="C261" s="3">
        <v>45842</v>
      </c>
      <c r="D261" s="3" t="s">
        <v>42</v>
      </c>
      <c r="E261" s="4" t="s">
        <v>25</v>
      </c>
      <c r="F261" s="4" t="s">
        <v>69</v>
      </c>
      <c r="G261" s="4">
        <v>34</v>
      </c>
      <c r="H261" s="4">
        <v>351</v>
      </c>
      <c r="I261" s="4">
        <v>11934</v>
      </c>
      <c r="J261" s="4">
        <f>Table1[[#This Row],[Total Sale]]*0.2</f>
        <v>2386.8000000000002</v>
      </c>
      <c r="K261" s="4" t="s">
        <v>21</v>
      </c>
    </row>
    <row r="262" spans="3:11" x14ac:dyDescent="0.3">
      <c r="C262" s="3">
        <v>45842</v>
      </c>
      <c r="D262" s="3" t="s">
        <v>38</v>
      </c>
      <c r="E262" s="4" t="s">
        <v>26</v>
      </c>
      <c r="F262" s="4" t="s">
        <v>60</v>
      </c>
      <c r="G262" s="4">
        <v>18</v>
      </c>
      <c r="H262" s="4">
        <v>279</v>
      </c>
      <c r="I262" s="4">
        <v>5022</v>
      </c>
      <c r="J262" s="4">
        <f>Table1[[#This Row],[Total Sale]]*0.2</f>
        <v>1004.4000000000001</v>
      </c>
      <c r="K262" s="4" t="s">
        <v>14</v>
      </c>
    </row>
    <row r="263" spans="3:11" x14ac:dyDescent="0.3">
      <c r="C263" s="3">
        <v>45840</v>
      </c>
      <c r="D263" s="3" t="s">
        <v>38</v>
      </c>
      <c r="E263" s="4" t="s">
        <v>27</v>
      </c>
      <c r="F263" s="4" t="s">
        <v>57</v>
      </c>
      <c r="G263" s="4">
        <v>32</v>
      </c>
      <c r="H263" s="4">
        <v>372</v>
      </c>
      <c r="I263" s="4">
        <v>11904</v>
      </c>
      <c r="J263" s="4">
        <f>Table1[[#This Row],[Total Sale]]*0.2</f>
        <v>2380.8000000000002</v>
      </c>
      <c r="K263" s="4" t="s">
        <v>7</v>
      </c>
    </row>
    <row r="264" spans="3:11" x14ac:dyDescent="0.3">
      <c r="C264" s="3">
        <v>45840</v>
      </c>
      <c r="D264" s="3" t="s">
        <v>49</v>
      </c>
      <c r="E264" s="4" t="s">
        <v>26</v>
      </c>
      <c r="F264" s="4" t="s">
        <v>68</v>
      </c>
      <c r="G264" s="4">
        <v>22</v>
      </c>
      <c r="H264" s="4">
        <v>499</v>
      </c>
      <c r="I264" s="4">
        <v>10978</v>
      </c>
      <c r="J264" s="4">
        <f>Table1[[#This Row],[Total Sale]]*0.2</f>
        <v>2195.6</v>
      </c>
      <c r="K264" s="4" t="s">
        <v>15</v>
      </c>
    </row>
    <row r="265" spans="3:11" x14ac:dyDescent="0.3">
      <c r="C265" s="3">
        <v>45840</v>
      </c>
      <c r="D265" s="3" t="s">
        <v>46</v>
      </c>
      <c r="E265" s="4" t="s">
        <v>18</v>
      </c>
      <c r="F265" s="4" t="s">
        <v>68</v>
      </c>
      <c r="G265" s="4">
        <v>13</v>
      </c>
      <c r="H265" s="4">
        <v>350</v>
      </c>
      <c r="I265" s="4">
        <v>4550</v>
      </c>
      <c r="J265" s="4">
        <f>Table1[[#This Row],[Total Sale]]*0.2</f>
        <v>910</v>
      </c>
      <c r="K265" s="4" t="s">
        <v>24</v>
      </c>
    </row>
    <row r="266" spans="3:11" x14ac:dyDescent="0.3">
      <c r="C266" s="3">
        <v>45839</v>
      </c>
      <c r="D266" s="3" t="s">
        <v>31</v>
      </c>
      <c r="E266" s="4" t="s">
        <v>13</v>
      </c>
      <c r="F266" s="4" t="s">
        <v>58</v>
      </c>
      <c r="G266" s="4">
        <v>21</v>
      </c>
      <c r="H266" s="4">
        <v>491</v>
      </c>
      <c r="I266" s="4">
        <v>10311</v>
      </c>
      <c r="J266" s="4">
        <f>Table1[[#This Row],[Total Sale]]*0.2</f>
        <v>2062.2000000000003</v>
      </c>
      <c r="K266" s="4" t="s">
        <v>20</v>
      </c>
    </row>
    <row r="267" spans="3:11" x14ac:dyDescent="0.3">
      <c r="C267" s="3">
        <v>45838</v>
      </c>
      <c r="D267" s="3" t="s">
        <v>36</v>
      </c>
      <c r="E267" s="4" t="s">
        <v>27</v>
      </c>
      <c r="F267" s="4" t="s">
        <v>65</v>
      </c>
      <c r="G267" s="4">
        <v>46</v>
      </c>
      <c r="H267" s="4">
        <v>435</v>
      </c>
      <c r="I267" s="4">
        <v>20010</v>
      </c>
      <c r="J267" s="4">
        <f>Table1[[#This Row],[Total Sale]]*0.2</f>
        <v>4002</v>
      </c>
      <c r="K267" s="4" t="s">
        <v>8</v>
      </c>
    </row>
    <row r="268" spans="3:11" x14ac:dyDescent="0.3">
      <c r="C268" s="3">
        <v>45838</v>
      </c>
      <c r="D268" s="3" t="s">
        <v>43</v>
      </c>
      <c r="E268" s="4" t="s">
        <v>18</v>
      </c>
      <c r="F268" s="4" t="s">
        <v>62</v>
      </c>
      <c r="G268" s="4">
        <v>40</v>
      </c>
      <c r="H268" s="4">
        <v>362</v>
      </c>
      <c r="I268" s="4">
        <v>14480</v>
      </c>
      <c r="J268" s="4">
        <f>Table1[[#This Row],[Total Sale]]*0.2</f>
        <v>2896</v>
      </c>
      <c r="K268" s="4" t="s">
        <v>17</v>
      </c>
    </row>
    <row r="269" spans="3:11" x14ac:dyDescent="0.3">
      <c r="C269" s="3">
        <v>45838</v>
      </c>
      <c r="D269" s="3" t="s">
        <v>40</v>
      </c>
      <c r="E269" s="4" t="s">
        <v>16</v>
      </c>
      <c r="F269" s="4" t="s">
        <v>53</v>
      </c>
      <c r="G269" s="4">
        <v>36</v>
      </c>
      <c r="H269" s="4">
        <v>305</v>
      </c>
      <c r="I269" s="4">
        <v>10980</v>
      </c>
      <c r="J269" s="4">
        <f>Table1[[#This Row],[Total Sale]]*0.2</f>
        <v>2196</v>
      </c>
      <c r="K269" s="4" t="s">
        <v>19</v>
      </c>
    </row>
    <row r="270" spans="3:11" x14ac:dyDescent="0.3">
      <c r="C270" s="3">
        <v>45836</v>
      </c>
      <c r="D270" s="3" t="s">
        <v>43</v>
      </c>
      <c r="E270" s="4" t="s">
        <v>27</v>
      </c>
      <c r="F270" s="4" t="s">
        <v>58</v>
      </c>
      <c r="G270" s="4">
        <v>41</v>
      </c>
      <c r="H270" s="4">
        <v>295</v>
      </c>
      <c r="I270" s="4">
        <v>12095</v>
      </c>
      <c r="J270" s="4">
        <f>Table1[[#This Row],[Total Sale]]*0.2</f>
        <v>2419</v>
      </c>
      <c r="K270" s="4" t="s">
        <v>28</v>
      </c>
    </row>
    <row r="271" spans="3:11" x14ac:dyDescent="0.3">
      <c r="C271" s="3">
        <v>45836</v>
      </c>
      <c r="D271" s="3" t="s">
        <v>45</v>
      </c>
      <c r="E271" s="4" t="s">
        <v>25</v>
      </c>
      <c r="F271" s="4" t="s">
        <v>57</v>
      </c>
      <c r="G271" s="4">
        <v>16</v>
      </c>
      <c r="H271" s="4">
        <v>237</v>
      </c>
      <c r="I271" s="4">
        <v>3792</v>
      </c>
      <c r="J271" s="4">
        <f>Table1[[#This Row],[Total Sale]]*0.2</f>
        <v>758.40000000000009</v>
      </c>
      <c r="K271" s="4" t="s">
        <v>15</v>
      </c>
    </row>
    <row r="272" spans="3:11" x14ac:dyDescent="0.3">
      <c r="C272" s="3">
        <v>45835</v>
      </c>
      <c r="D272" s="3" t="s">
        <v>31</v>
      </c>
      <c r="E272" s="4" t="s">
        <v>25</v>
      </c>
      <c r="F272" s="4" t="s">
        <v>57</v>
      </c>
      <c r="G272" s="4">
        <v>30</v>
      </c>
      <c r="H272" s="4">
        <v>474</v>
      </c>
      <c r="I272" s="4">
        <v>14220</v>
      </c>
      <c r="J272" s="4">
        <f>Table1[[#This Row],[Total Sale]]*0.2</f>
        <v>2844</v>
      </c>
      <c r="K272" s="4" t="s">
        <v>15</v>
      </c>
    </row>
    <row r="273" spans="3:11" x14ac:dyDescent="0.3">
      <c r="C273" s="3">
        <v>45834</v>
      </c>
      <c r="D273" s="3" t="s">
        <v>41</v>
      </c>
      <c r="E273" s="4" t="s">
        <v>10</v>
      </c>
      <c r="F273" s="4" t="s">
        <v>56</v>
      </c>
      <c r="G273" s="4">
        <v>19</v>
      </c>
      <c r="H273" s="4">
        <v>350</v>
      </c>
      <c r="I273" s="4">
        <v>6650</v>
      </c>
      <c r="J273" s="4">
        <f>Table1[[#This Row],[Total Sale]]*0.2</f>
        <v>1330</v>
      </c>
      <c r="K273" s="4" t="s">
        <v>24</v>
      </c>
    </row>
    <row r="274" spans="3:11" x14ac:dyDescent="0.3">
      <c r="C274" s="3">
        <v>45832</v>
      </c>
      <c r="D274" s="3" t="s">
        <v>31</v>
      </c>
      <c r="E274" s="4" t="s">
        <v>25</v>
      </c>
      <c r="F274" s="4" t="s">
        <v>69</v>
      </c>
      <c r="G274" s="4">
        <v>38</v>
      </c>
      <c r="H274" s="4">
        <v>368</v>
      </c>
      <c r="I274" s="4">
        <v>13984</v>
      </c>
      <c r="J274" s="4">
        <f>Table1[[#This Row],[Total Sale]]*0.2</f>
        <v>2796.8</v>
      </c>
      <c r="K274" s="4" t="s">
        <v>14</v>
      </c>
    </row>
    <row r="275" spans="3:11" x14ac:dyDescent="0.3">
      <c r="C275" s="3">
        <v>45831</v>
      </c>
      <c r="D275" s="3" t="s">
        <v>33</v>
      </c>
      <c r="E275" s="4" t="s">
        <v>13</v>
      </c>
      <c r="F275" s="4" t="s">
        <v>54</v>
      </c>
      <c r="G275" s="4">
        <v>28</v>
      </c>
      <c r="H275" s="4">
        <v>353</v>
      </c>
      <c r="I275" s="4">
        <v>9884</v>
      </c>
      <c r="J275" s="4">
        <f>Table1[[#This Row],[Total Sale]]*0.2</f>
        <v>1976.8000000000002</v>
      </c>
      <c r="K275" s="4" t="s">
        <v>19</v>
      </c>
    </row>
    <row r="276" spans="3:11" x14ac:dyDescent="0.3">
      <c r="C276" s="3">
        <v>45830</v>
      </c>
      <c r="D276" s="3" t="s">
        <v>41</v>
      </c>
      <c r="E276" s="4" t="s">
        <v>25</v>
      </c>
      <c r="F276" s="4" t="s">
        <v>54</v>
      </c>
      <c r="G276" s="4">
        <v>26</v>
      </c>
      <c r="H276" s="4">
        <v>374</v>
      </c>
      <c r="I276" s="4">
        <v>9724</v>
      </c>
      <c r="J276" s="4">
        <f>Table1[[#This Row],[Total Sale]]*0.2</f>
        <v>1944.8000000000002</v>
      </c>
      <c r="K276" s="4" t="s">
        <v>12</v>
      </c>
    </row>
    <row r="277" spans="3:11" x14ac:dyDescent="0.3">
      <c r="C277" s="3">
        <v>45829</v>
      </c>
      <c r="D277" s="3" t="s">
        <v>31</v>
      </c>
      <c r="E277" s="4" t="s">
        <v>27</v>
      </c>
      <c r="F277" s="4" t="s">
        <v>53</v>
      </c>
      <c r="G277" s="4">
        <v>40</v>
      </c>
      <c r="H277" s="4">
        <v>213</v>
      </c>
      <c r="I277" s="4">
        <v>8520</v>
      </c>
      <c r="J277" s="4">
        <f>Table1[[#This Row],[Total Sale]]*0.2</f>
        <v>1704</v>
      </c>
      <c r="K277" s="4" t="s">
        <v>7</v>
      </c>
    </row>
    <row r="278" spans="3:11" x14ac:dyDescent="0.3">
      <c r="C278" s="3">
        <v>45829</v>
      </c>
      <c r="D278" s="3" t="s">
        <v>41</v>
      </c>
      <c r="E278" s="4" t="s">
        <v>25</v>
      </c>
      <c r="F278" s="4" t="s">
        <v>58</v>
      </c>
      <c r="G278" s="4">
        <v>15</v>
      </c>
      <c r="H278" s="4">
        <v>201</v>
      </c>
      <c r="I278" s="4">
        <v>3015</v>
      </c>
      <c r="J278" s="4">
        <f>Table1[[#This Row],[Total Sale]]*0.2</f>
        <v>603</v>
      </c>
      <c r="K278" s="4" t="s">
        <v>20</v>
      </c>
    </row>
    <row r="279" spans="3:11" x14ac:dyDescent="0.3">
      <c r="C279" s="3">
        <v>45829</v>
      </c>
      <c r="D279" s="3" t="s">
        <v>38</v>
      </c>
      <c r="E279" s="4" t="s">
        <v>6</v>
      </c>
      <c r="F279" s="4" t="s">
        <v>51</v>
      </c>
      <c r="G279" s="4">
        <v>48</v>
      </c>
      <c r="H279" s="4">
        <v>284</v>
      </c>
      <c r="I279" s="4">
        <v>13632</v>
      </c>
      <c r="J279" s="4">
        <f>Table1[[#This Row],[Total Sale]]*0.2</f>
        <v>2726.4</v>
      </c>
      <c r="K279" s="4" t="s">
        <v>19</v>
      </c>
    </row>
    <row r="280" spans="3:11" x14ac:dyDescent="0.3">
      <c r="C280" s="3">
        <v>45828</v>
      </c>
      <c r="D280" s="3" t="s">
        <v>35</v>
      </c>
      <c r="E280" s="4" t="s">
        <v>27</v>
      </c>
      <c r="F280" s="4" t="s">
        <v>56</v>
      </c>
      <c r="G280" s="4">
        <v>19</v>
      </c>
      <c r="H280" s="4">
        <v>447</v>
      </c>
      <c r="I280" s="4">
        <v>8493</v>
      </c>
      <c r="J280" s="4">
        <f>Table1[[#This Row],[Total Sale]]*0.2</f>
        <v>1698.6000000000001</v>
      </c>
      <c r="K280" s="4" t="s">
        <v>12</v>
      </c>
    </row>
    <row r="281" spans="3:11" x14ac:dyDescent="0.3">
      <c r="C281" s="3">
        <v>45827</v>
      </c>
      <c r="D281" s="3" t="s">
        <v>44</v>
      </c>
      <c r="E281" s="4" t="s">
        <v>10</v>
      </c>
      <c r="F281" s="4" t="s">
        <v>66</v>
      </c>
      <c r="G281" s="4">
        <v>26</v>
      </c>
      <c r="H281" s="4">
        <v>455</v>
      </c>
      <c r="I281" s="4">
        <v>11830</v>
      </c>
      <c r="J281" s="4">
        <f>Table1[[#This Row],[Total Sale]]*0.2</f>
        <v>2366</v>
      </c>
      <c r="K281" s="4" t="s">
        <v>17</v>
      </c>
    </row>
    <row r="282" spans="3:11" x14ac:dyDescent="0.3">
      <c r="C282" s="3">
        <v>45827</v>
      </c>
      <c r="D282" s="3" t="s">
        <v>38</v>
      </c>
      <c r="E282" s="4" t="s">
        <v>13</v>
      </c>
      <c r="F282" s="4" t="s">
        <v>69</v>
      </c>
      <c r="G282" s="4">
        <v>22</v>
      </c>
      <c r="H282" s="4">
        <v>332</v>
      </c>
      <c r="I282" s="4">
        <v>7304</v>
      </c>
      <c r="J282" s="4">
        <f>Table1[[#This Row],[Total Sale]]*0.2</f>
        <v>1460.8000000000002</v>
      </c>
      <c r="K282" s="4" t="s">
        <v>9</v>
      </c>
    </row>
    <row r="283" spans="3:11" x14ac:dyDescent="0.3">
      <c r="C283" s="3">
        <v>45827</v>
      </c>
      <c r="D283" s="3" t="s">
        <v>41</v>
      </c>
      <c r="E283" s="4" t="s">
        <v>18</v>
      </c>
      <c r="F283" s="4" t="s">
        <v>54</v>
      </c>
      <c r="G283" s="4">
        <v>17</v>
      </c>
      <c r="H283" s="4">
        <v>484</v>
      </c>
      <c r="I283" s="4">
        <v>8228</v>
      </c>
      <c r="J283" s="4">
        <f>Table1[[#This Row],[Total Sale]]*0.2</f>
        <v>1645.6000000000001</v>
      </c>
      <c r="K283" s="4" t="s">
        <v>9</v>
      </c>
    </row>
    <row r="284" spans="3:11" x14ac:dyDescent="0.3">
      <c r="C284" s="3">
        <v>45826</v>
      </c>
      <c r="D284" s="3" t="s">
        <v>36</v>
      </c>
      <c r="E284" s="4" t="s">
        <v>11</v>
      </c>
      <c r="F284" s="4" t="s">
        <v>57</v>
      </c>
      <c r="G284" s="4">
        <v>10</v>
      </c>
      <c r="H284" s="4">
        <v>311</v>
      </c>
      <c r="I284" s="4">
        <v>3110</v>
      </c>
      <c r="J284" s="4">
        <f>Table1[[#This Row],[Total Sale]]*0.2</f>
        <v>622</v>
      </c>
      <c r="K284" s="4" t="s">
        <v>20</v>
      </c>
    </row>
    <row r="285" spans="3:11" x14ac:dyDescent="0.3">
      <c r="C285" s="3">
        <v>45825</v>
      </c>
      <c r="D285" s="3" t="s">
        <v>47</v>
      </c>
      <c r="E285" s="4" t="s">
        <v>26</v>
      </c>
      <c r="F285" s="4" t="s">
        <v>64</v>
      </c>
      <c r="G285" s="4">
        <v>22</v>
      </c>
      <c r="H285" s="4">
        <v>367</v>
      </c>
      <c r="I285" s="4">
        <v>8074</v>
      </c>
      <c r="J285" s="4">
        <f>Table1[[#This Row],[Total Sale]]*0.2</f>
        <v>1614.8000000000002</v>
      </c>
      <c r="K285" s="4" t="s">
        <v>17</v>
      </c>
    </row>
    <row r="286" spans="3:11" x14ac:dyDescent="0.3">
      <c r="C286" s="3">
        <v>45825</v>
      </c>
      <c r="D286" s="3" t="s">
        <v>45</v>
      </c>
      <c r="E286" s="4" t="s">
        <v>26</v>
      </c>
      <c r="F286" s="4" t="s">
        <v>65</v>
      </c>
      <c r="G286" s="4">
        <v>17</v>
      </c>
      <c r="H286" s="4">
        <v>235</v>
      </c>
      <c r="I286" s="4">
        <v>3995</v>
      </c>
      <c r="J286" s="4">
        <f>Table1[[#This Row],[Total Sale]]*0.2</f>
        <v>799</v>
      </c>
      <c r="K286" s="4" t="s">
        <v>15</v>
      </c>
    </row>
    <row r="287" spans="3:11" x14ac:dyDescent="0.3">
      <c r="C287" s="3">
        <v>45825</v>
      </c>
      <c r="D287" s="3" t="s">
        <v>41</v>
      </c>
      <c r="E287" s="4" t="s">
        <v>29</v>
      </c>
      <c r="F287" s="4" t="s">
        <v>53</v>
      </c>
      <c r="G287" s="4">
        <v>16</v>
      </c>
      <c r="H287" s="4">
        <v>325</v>
      </c>
      <c r="I287" s="4">
        <v>5200</v>
      </c>
      <c r="J287" s="4">
        <f>Table1[[#This Row],[Total Sale]]*0.2</f>
        <v>1040</v>
      </c>
      <c r="K287" s="4" t="s">
        <v>24</v>
      </c>
    </row>
    <row r="288" spans="3:11" x14ac:dyDescent="0.3">
      <c r="C288" s="3">
        <v>45824</v>
      </c>
      <c r="D288" s="3" t="s">
        <v>41</v>
      </c>
      <c r="E288" s="4" t="s">
        <v>11</v>
      </c>
      <c r="F288" s="4" t="s">
        <v>70</v>
      </c>
      <c r="G288" s="4">
        <v>34</v>
      </c>
      <c r="H288" s="4">
        <v>448</v>
      </c>
      <c r="I288" s="4">
        <v>15232</v>
      </c>
      <c r="J288" s="4">
        <f>Table1[[#This Row],[Total Sale]]*0.2</f>
        <v>3046.4</v>
      </c>
      <c r="K288" s="4" t="s">
        <v>22</v>
      </c>
    </row>
    <row r="289" spans="3:11" x14ac:dyDescent="0.3">
      <c r="C289" s="3">
        <v>45823</v>
      </c>
      <c r="D289" s="3" t="s">
        <v>32</v>
      </c>
      <c r="E289" s="4" t="s">
        <v>25</v>
      </c>
      <c r="F289" s="4" t="s">
        <v>69</v>
      </c>
      <c r="G289" s="4">
        <v>13</v>
      </c>
      <c r="H289" s="4">
        <v>339</v>
      </c>
      <c r="I289" s="4">
        <v>4407</v>
      </c>
      <c r="J289" s="4">
        <f>Table1[[#This Row],[Total Sale]]*0.2</f>
        <v>881.40000000000009</v>
      </c>
      <c r="K289" s="4" t="s">
        <v>21</v>
      </c>
    </row>
    <row r="290" spans="3:11" x14ac:dyDescent="0.3">
      <c r="C290" s="3">
        <v>45822</v>
      </c>
      <c r="D290" s="3" t="s">
        <v>31</v>
      </c>
      <c r="E290" s="4" t="s">
        <v>25</v>
      </c>
      <c r="F290" s="4" t="s">
        <v>51</v>
      </c>
      <c r="G290" s="4">
        <v>26</v>
      </c>
      <c r="H290" s="4">
        <v>291</v>
      </c>
      <c r="I290" s="4">
        <v>7566</v>
      </c>
      <c r="J290" s="4">
        <f>Table1[[#This Row],[Total Sale]]*0.2</f>
        <v>1513.2</v>
      </c>
      <c r="K290" s="4" t="s">
        <v>12</v>
      </c>
    </row>
    <row r="291" spans="3:11" x14ac:dyDescent="0.3">
      <c r="C291" s="3">
        <v>45821</v>
      </c>
      <c r="D291" s="3" t="s">
        <v>47</v>
      </c>
      <c r="E291" s="4" t="s">
        <v>27</v>
      </c>
      <c r="F291" s="4" t="s">
        <v>53</v>
      </c>
      <c r="G291" s="4">
        <v>42</v>
      </c>
      <c r="H291" s="4">
        <v>318</v>
      </c>
      <c r="I291" s="4">
        <v>13356</v>
      </c>
      <c r="J291" s="4">
        <f>Table1[[#This Row],[Total Sale]]*0.2</f>
        <v>2671.2000000000003</v>
      </c>
      <c r="K291" s="4" t="s">
        <v>8</v>
      </c>
    </row>
    <row r="292" spans="3:11" x14ac:dyDescent="0.3">
      <c r="C292" s="3">
        <v>45820</v>
      </c>
      <c r="D292" s="3" t="s">
        <v>48</v>
      </c>
      <c r="E292" s="4" t="s">
        <v>27</v>
      </c>
      <c r="F292" s="4" t="s">
        <v>53</v>
      </c>
      <c r="G292" s="4">
        <v>15</v>
      </c>
      <c r="H292" s="4">
        <v>469</v>
      </c>
      <c r="I292" s="4">
        <v>7035</v>
      </c>
      <c r="J292" s="4">
        <f>Table1[[#This Row],[Total Sale]]*0.2</f>
        <v>1407</v>
      </c>
      <c r="K292" s="4" t="s">
        <v>20</v>
      </c>
    </row>
    <row r="293" spans="3:11" x14ac:dyDescent="0.3">
      <c r="C293" s="3">
        <v>45820</v>
      </c>
      <c r="D293" s="3" t="s">
        <v>48</v>
      </c>
      <c r="E293" s="4" t="s">
        <v>27</v>
      </c>
      <c r="F293" s="4" t="s">
        <v>67</v>
      </c>
      <c r="G293" s="4">
        <v>23</v>
      </c>
      <c r="H293" s="4">
        <v>336</v>
      </c>
      <c r="I293" s="4">
        <v>7728</v>
      </c>
      <c r="J293" s="4">
        <f>Table1[[#This Row],[Total Sale]]*0.2</f>
        <v>1545.6000000000001</v>
      </c>
      <c r="K293" s="4" t="s">
        <v>24</v>
      </c>
    </row>
    <row r="294" spans="3:11" x14ac:dyDescent="0.3">
      <c r="C294" s="3">
        <v>45820</v>
      </c>
      <c r="D294" s="3" t="s">
        <v>38</v>
      </c>
      <c r="E294" s="4" t="s">
        <v>6</v>
      </c>
      <c r="F294" s="4" t="s">
        <v>56</v>
      </c>
      <c r="G294" s="4">
        <v>22</v>
      </c>
      <c r="H294" s="4">
        <v>320</v>
      </c>
      <c r="I294" s="4">
        <v>7040</v>
      </c>
      <c r="J294" s="4">
        <f>Table1[[#This Row],[Total Sale]]*0.2</f>
        <v>1408</v>
      </c>
      <c r="K294" s="4" t="s">
        <v>20</v>
      </c>
    </row>
    <row r="295" spans="3:11" x14ac:dyDescent="0.3">
      <c r="C295" s="3">
        <v>45818</v>
      </c>
      <c r="D295" s="3" t="s">
        <v>42</v>
      </c>
      <c r="E295" s="4" t="s">
        <v>11</v>
      </c>
      <c r="F295" s="4" t="s">
        <v>62</v>
      </c>
      <c r="G295" s="4">
        <v>19</v>
      </c>
      <c r="H295" s="4">
        <v>423</v>
      </c>
      <c r="I295" s="4">
        <v>8037</v>
      </c>
      <c r="J295" s="4">
        <f>Table1[[#This Row],[Total Sale]]*0.2</f>
        <v>1607.4</v>
      </c>
      <c r="K295" s="4" t="s">
        <v>15</v>
      </c>
    </row>
    <row r="296" spans="3:11" x14ac:dyDescent="0.3">
      <c r="C296" s="3">
        <v>45816</v>
      </c>
      <c r="D296" s="3" t="s">
        <v>45</v>
      </c>
      <c r="E296" s="4" t="s">
        <v>26</v>
      </c>
      <c r="F296" s="4" t="s">
        <v>53</v>
      </c>
      <c r="G296" s="4">
        <v>50</v>
      </c>
      <c r="H296" s="4">
        <v>356</v>
      </c>
      <c r="I296" s="4">
        <v>17800</v>
      </c>
      <c r="J296" s="4">
        <f>Table1[[#This Row],[Total Sale]]*0.2</f>
        <v>3560</v>
      </c>
      <c r="K296" s="4" t="s">
        <v>17</v>
      </c>
    </row>
    <row r="297" spans="3:11" x14ac:dyDescent="0.3">
      <c r="C297" s="3">
        <v>45815</v>
      </c>
      <c r="D297" s="3" t="s">
        <v>46</v>
      </c>
      <c r="E297" s="4" t="s">
        <v>25</v>
      </c>
      <c r="F297" s="4" t="s">
        <v>53</v>
      </c>
      <c r="G297" s="4">
        <v>16</v>
      </c>
      <c r="H297" s="4">
        <v>290</v>
      </c>
      <c r="I297" s="4">
        <v>4640</v>
      </c>
      <c r="J297" s="4">
        <f>Table1[[#This Row],[Total Sale]]*0.2</f>
        <v>928</v>
      </c>
      <c r="K297" s="4" t="s">
        <v>8</v>
      </c>
    </row>
    <row r="298" spans="3:11" x14ac:dyDescent="0.3">
      <c r="C298" s="3">
        <v>45815</v>
      </c>
      <c r="D298" s="3" t="s">
        <v>50</v>
      </c>
      <c r="E298" s="4" t="s">
        <v>26</v>
      </c>
      <c r="F298" s="4" t="s">
        <v>70</v>
      </c>
      <c r="G298" s="4">
        <v>45</v>
      </c>
      <c r="H298" s="4">
        <v>262</v>
      </c>
      <c r="I298" s="4">
        <v>11790</v>
      </c>
      <c r="J298" s="4">
        <f>Table1[[#This Row],[Total Sale]]*0.2</f>
        <v>2358</v>
      </c>
      <c r="K298" s="4" t="s">
        <v>20</v>
      </c>
    </row>
    <row r="299" spans="3:11" x14ac:dyDescent="0.3">
      <c r="C299" s="3">
        <v>45814</v>
      </c>
      <c r="D299" s="3" t="s">
        <v>50</v>
      </c>
      <c r="E299" s="4" t="s">
        <v>26</v>
      </c>
      <c r="F299" s="4" t="s">
        <v>67</v>
      </c>
      <c r="G299" s="4">
        <v>27</v>
      </c>
      <c r="H299" s="4">
        <v>426</v>
      </c>
      <c r="I299" s="4">
        <v>11502</v>
      </c>
      <c r="J299" s="4">
        <f>Table1[[#This Row],[Total Sale]]*0.2</f>
        <v>2300.4</v>
      </c>
      <c r="K299" s="4" t="s">
        <v>15</v>
      </c>
    </row>
    <row r="300" spans="3:11" x14ac:dyDescent="0.3">
      <c r="C300" s="3">
        <v>45813</v>
      </c>
      <c r="D300" s="3" t="s">
        <v>40</v>
      </c>
      <c r="E300" s="4" t="s">
        <v>27</v>
      </c>
      <c r="F300" s="4" t="s">
        <v>69</v>
      </c>
      <c r="G300" s="4">
        <v>22</v>
      </c>
      <c r="H300" s="4">
        <v>377</v>
      </c>
      <c r="I300" s="4">
        <v>8294</v>
      </c>
      <c r="J300" s="4">
        <f>Table1[[#This Row],[Total Sale]]*0.2</f>
        <v>1658.8000000000002</v>
      </c>
      <c r="K300" s="4" t="s">
        <v>17</v>
      </c>
    </row>
    <row r="301" spans="3:11" x14ac:dyDescent="0.3">
      <c r="C301" s="3">
        <v>45813</v>
      </c>
      <c r="D301" s="3" t="s">
        <v>47</v>
      </c>
      <c r="E301" s="4" t="s">
        <v>16</v>
      </c>
      <c r="F301" s="4" t="s">
        <v>69</v>
      </c>
      <c r="G301" s="4">
        <v>24</v>
      </c>
      <c r="H301" s="4">
        <v>386</v>
      </c>
      <c r="I301" s="4">
        <v>9264</v>
      </c>
      <c r="J301" s="4">
        <f>Table1[[#This Row],[Total Sale]]*0.2</f>
        <v>1852.8000000000002</v>
      </c>
      <c r="K301" s="4" t="s">
        <v>20</v>
      </c>
    </row>
    <row r="302" spans="3:11" x14ac:dyDescent="0.3">
      <c r="C302" s="3">
        <v>45812</v>
      </c>
      <c r="D302" s="3" t="s">
        <v>44</v>
      </c>
      <c r="E302" s="4" t="s">
        <v>11</v>
      </c>
      <c r="F302" s="4" t="s">
        <v>69</v>
      </c>
      <c r="G302" s="4">
        <v>18</v>
      </c>
      <c r="H302" s="4">
        <v>214</v>
      </c>
      <c r="I302" s="4">
        <v>3852</v>
      </c>
      <c r="J302" s="4">
        <f>Table1[[#This Row],[Total Sale]]*0.2</f>
        <v>770.40000000000009</v>
      </c>
      <c r="K302" s="4" t="s">
        <v>14</v>
      </c>
    </row>
    <row r="303" spans="3:11" x14ac:dyDescent="0.3">
      <c r="C303" s="3">
        <v>45810</v>
      </c>
      <c r="D303" s="3" t="s">
        <v>42</v>
      </c>
      <c r="E303" s="4" t="s">
        <v>6</v>
      </c>
      <c r="F303" s="4" t="s">
        <v>54</v>
      </c>
      <c r="G303" s="4">
        <v>15</v>
      </c>
      <c r="H303" s="4">
        <v>372</v>
      </c>
      <c r="I303" s="4">
        <v>5580</v>
      </c>
      <c r="J303" s="4">
        <f>Table1[[#This Row],[Total Sale]]*0.2</f>
        <v>1116</v>
      </c>
      <c r="K303" s="4" t="s">
        <v>12</v>
      </c>
    </row>
    <row r="304" spans="3:11" x14ac:dyDescent="0.3">
      <c r="C304" s="3">
        <v>45810</v>
      </c>
      <c r="D304" s="3" t="s">
        <v>39</v>
      </c>
      <c r="E304" s="4" t="s">
        <v>18</v>
      </c>
      <c r="F304" s="4" t="s">
        <v>51</v>
      </c>
      <c r="G304" s="4">
        <v>47</v>
      </c>
      <c r="H304" s="4">
        <v>389</v>
      </c>
      <c r="I304" s="4">
        <v>18283</v>
      </c>
      <c r="J304" s="4">
        <f>Table1[[#This Row],[Total Sale]]*0.2</f>
        <v>3656.6000000000004</v>
      </c>
      <c r="K304" s="4" t="s">
        <v>19</v>
      </c>
    </row>
    <row r="305" spans="3:11" x14ac:dyDescent="0.3">
      <c r="C305" s="3">
        <v>45809</v>
      </c>
      <c r="D305" s="3" t="s">
        <v>32</v>
      </c>
      <c r="E305" s="4" t="s">
        <v>11</v>
      </c>
      <c r="F305" s="4" t="s">
        <v>59</v>
      </c>
      <c r="G305" s="4">
        <v>34</v>
      </c>
      <c r="H305" s="4">
        <v>336</v>
      </c>
      <c r="I305" s="4">
        <v>11424</v>
      </c>
      <c r="J305" s="4">
        <f>Table1[[#This Row],[Total Sale]]*0.2</f>
        <v>2284.8000000000002</v>
      </c>
      <c r="K305" s="4" t="s">
        <v>20</v>
      </c>
    </row>
    <row r="306" spans="3:11" x14ac:dyDescent="0.3">
      <c r="C306" s="3">
        <v>45808</v>
      </c>
      <c r="D306" s="3" t="s">
        <v>35</v>
      </c>
      <c r="E306" s="4" t="s">
        <v>6</v>
      </c>
      <c r="F306" s="4" t="s">
        <v>60</v>
      </c>
      <c r="G306" s="4">
        <v>38</v>
      </c>
      <c r="H306" s="4">
        <v>257</v>
      </c>
      <c r="I306" s="4">
        <v>9766</v>
      </c>
      <c r="J306" s="4">
        <f>Table1[[#This Row],[Total Sale]]*0.2</f>
        <v>1953.2</v>
      </c>
      <c r="K306" s="4" t="s">
        <v>9</v>
      </c>
    </row>
    <row r="307" spans="3:11" x14ac:dyDescent="0.3">
      <c r="C307" s="3">
        <v>45807</v>
      </c>
      <c r="D307" s="3" t="s">
        <v>31</v>
      </c>
      <c r="E307" s="4" t="s">
        <v>16</v>
      </c>
      <c r="F307" s="4" t="s">
        <v>70</v>
      </c>
      <c r="G307" s="4">
        <v>26</v>
      </c>
      <c r="H307" s="4">
        <v>237</v>
      </c>
      <c r="I307" s="4">
        <v>6162</v>
      </c>
      <c r="J307" s="4">
        <f>Table1[[#This Row],[Total Sale]]*0.2</f>
        <v>1232.4000000000001</v>
      </c>
      <c r="K307" s="4" t="s">
        <v>23</v>
      </c>
    </row>
    <row r="308" spans="3:11" x14ac:dyDescent="0.3">
      <c r="C308" s="3">
        <v>45805</v>
      </c>
      <c r="D308" s="3" t="s">
        <v>48</v>
      </c>
      <c r="E308" s="4" t="s">
        <v>26</v>
      </c>
      <c r="F308" s="4" t="s">
        <v>69</v>
      </c>
      <c r="G308" s="4">
        <v>21</v>
      </c>
      <c r="H308" s="4">
        <v>295</v>
      </c>
      <c r="I308" s="4">
        <v>6195</v>
      </c>
      <c r="J308" s="4">
        <f>Table1[[#This Row],[Total Sale]]*0.2</f>
        <v>1239</v>
      </c>
      <c r="K308" s="4" t="s">
        <v>24</v>
      </c>
    </row>
    <row r="309" spans="3:11" x14ac:dyDescent="0.3">
      <c r="C309" s="3">
        <v>45805</v>
      </c>
      <c r="D309" s="3" t="s">
        <v>39</v>
      </c>
      <c r="E309" s="4" t="s">
        <v>16</v>
      </c>
      <c r="F309" s="4" t="s">
        <v>63</v>
      </c>
      <c r="G309" s="4">
        <v>36</v>
      </c>
      <c r="H309" s="4">
        <v>442</v>
      </c>
      <c r="I309" s="4">
        <v>15912</v>
      </c>
      <c r="J309" s="4">
        <f>Table1[[#This Row],[Total Sale]]*0.2</f>
        <v>3182.4</v>
      </c>
      <c r="K309" s="4" t="s">
        <v>22</v>
      </c>
    </row>
    <row r="310" spans="3:11" x14ac:dyDescent="0.3">
      <c r="C310" s="3">
        <v>45804</v>
      </c>
      <c r="D310" s="3" t="s">
        <v>48</v>
      </c>
      <c r="E310" s="4" t="s">
        <v>11</v>
      </c>
      <c r="F310" s="4" t="s">
        <v>55</v>
      </c>
      <c r="G310" s="4">
        <v>50</v>
      </c>
      <c r="H310" s="4">
        <v>232</v>
      </c>
      <c r="I310" s="4">
        <v>11600</v>
      </c>
      <c r="J310" s="4">
        <f>Table1[[#This Row],[Total Sale]]*0.2</f>
        <v>2320</v>
      </c>
      <c r="K310" s="4" t="s">
        <v>9</v>
      </c>
    </row>
    <row r="311" spans="3:11" x14ac:dyDescent="0.3">
      <c r="C311" s="3">
        <v>45802</v>
      </c>
      <c r="D311" s="3" t="s">
        <v>31</v>
      </c>
      <c r="E311" s="4" t="s">
        <v>27</v>
      </c>
      <c r="F311" s="4" t="s">
        <v>66</v>
      </c>
      <c r="G311" s="4">
        <v>32</v>
      </c>
      <c r="H311" s="4">
        <v>411</v>
      </c>
      <c r="I311" s="4">
        <v>13152</v>
      </c>
      <c r="J311" s="4">
        <f>Table1[[#This Row],[Total Sale]]*0.2</f>
        <v>2630.4</v>
      </c>
      <c r="K311" s="4" t="s">
        <v>8</v>
      </c>
    </row>
    <row r="312" spans="3:11" x14ac:dyDescent="0.3">
      <c r="C312" s="3">
        <v>45802</v>
      </c>
      <c r="D312" s="3" t="s">
        <v>48</v>
      </c>
      <c r="E312" s="4" t="s">
        <v>26</v>
      </c>
      <c r="F312" s="4" t="s">
        <v>64</v>
      </c>
      <c r="G312" s="4">
        <v>10</v>
      </c>
      <c r="H312" s="4">
        <v>337</v>
      </c>
      <c r="I312" s="4">
        <v>3370</v>
      </c>
      <c r="J312" s="4">
        <f>Table1[[#This Row],[Total Sale]]*0.2</f>
        <v>674</v>
      </c>
      <c r="K312" s="4" t="s">
        <v>21</v>
      </c>
    </row>
    <row r="313" spans="3:11" x14ac:dyDescent="0.3">
      <c r="C313" s="3">
        <v>45802</v>
      </c>
      <c r="D313" s="3" t="s">
        <v>38</v>
      </c>
      <c r="E313" s="4" t="s">
        <v>11</v>
      </c>
      <c r="F313" s="4" t="s">
        <v>64</v>
      </c>
      <c r="G313" s="4">
        <v>36</v>
      </c>
      <c r="H313" s="4">
        <v>262</v>
      </c>
      <c r="I313" s="4">
        <v>9432</v>
      </c>
      <c r="J313" s="4">
        <f>Table1[[#This Row],[Total Sale]]*0.2</f>
        <v>1886.4</v>
      </c>
      <c r="K313" s="4" t="s">
        <v>12</v>
      </c>
    </row>
    <row r="314" spans="3:11" x14ac:dyDescent="0.3">
      <c r="C314" s="3">
        <v>45802</v>
      </c>
      <c r="D314" s="3" t="s">
        <v>46</v>
      </c>
      <c r="E314" s="4" t="s">
        <v>10</v>
      </c>
      <c r="F314" s="4" t="s">
        <v>57</v>
      </c>
      <c r="G314" s="4">
        <v>14</v>
      </c>
      <c r="H314" s="4">
        <v>200</v>
      </c>
      <c r="I314" s="4">
        <v>2800</v>
      </c>
      <c r="J314" s="4">
        <f>Table1[[#This Row],[Total Sale]]*0.2</f>
        <v>560</v>
      </c>
      <c r="K314" s="4" t="s">
        <v>7</v>
      </c>
    </row>
    <row r="315" spans="3:11" x14ac:dyDescent="0.3">
      <c r="C315" s="3">
        <v>45801</v>
      </c>
      <c r="D315" s="3" t="s">
        <v>36</v>
      </c>
      <c r="E315" s="4" t="s">
        <v>10</v>
      </c>
      <c r="F315" s="4" t="s">
        <v>60</v>
      </c>
      <c r="G315" s="4">
        <v>50</v>
      </c>
      <c r="H315" s="4">
        <v>411</v>
      </c>
      <c r="I315" s="4">
        <v>20550</v>
      </c>
      <c r="J315" s="4">
        <f>Table1[[#This Row],[Total Sale]]*0.2</f>
        <v>4110</v>
      </c>
      <c r="K315" s="4" t="s">
        <v>14</v>
      </c>
    </row>
    <row r="316" spans="3:11" x14ac:dyDescent="0.3">
      <c r="C316" s="3">
        <v>45801</v>
      </c>
      <c r="D316" s="3" t="s">
        <v>49</v>
      </c>
      <c r="E316" s="4" t="s">
        <v>29</v>
      </c>
      <c r="F316" s="4" t="s">
        <v>63</v>
      </c>
      <c r="G316" s="4">
        <v>17</v>
      </c>
      <c r="H316" s="4">
        <v>464</v>
      </c>
      <c r="I316" s="4">
        <v>7888</v>
      </c>
      <c r="J316" s="4">
        <f>Table1[[#This Row],[Total Sale]]*0.2</f>
        <v>1577.6000000000001</v>
      </c>
      <c r="K316" s="4" t="s">
        <v>24</v>
      </c>
    </row>
    <row r="317" spans="3:11" x14ac:dyDescent="0.3">
      <c r="C317" s="3">
        <v>45800</v>
      </c>
      <c r="D317" s="3" t="s">
        <v>41</v>
      </c>
      <c r="E317" s="4" t="s">
        <v>13</v>
      </c>
      <c r="F317" s="4" t="s">
        <v>53</v>
      </c>
      <c r="G317" s="4">
        <v>10</v>
      </c>
      <c r="H317" s="4">
        <v>287</v>
      </c>
      <c r="I317" s="4">
        <v>2870</v>
      </c>
      <c r="J317" s="4">
        <f>Table1[[#This Row],[Total Sale]]*0.2</f>
        <v>574</v>
      </c>
      <c r="K317" s="4" t="s">
        <v>9</v>
      </c>
    </row>
    <row r="318" spans="3:11" x14ac:dyDescent="0.3">
      <c r="C318" s="3">
        <v>45797</v>
      </c>
      <c r="D318" s="3" t="s">
        <v>45</v>
      </c>
      <c r="E318" s="4" t="s">
        <v>27</v>
      </c>
      <c r="F318" s="4" t="s">
        <v>60</v>
      </c>
      <c r="G318" s="4">
        <v>37</v>
      </c>
      <c r="H318" s="4">
        <v>348</v>
      </c>
      <c r="I318" s="4">
        <v>12876</v>
      </c>
      <c r="J318" s="4">
        <f>Table1[[#This Row],[Total Sale]]*0.2</f>
        <v>2575.2000000000003</v>
      </c>
      <c r="K318" s="4" t="s">
        <v>20</v>
      </c>
    </row>
    <row r="319" spans="3:11" x14ac:dyDescent="0.3">
      <c r="C319" s="3">
        <v>45795</v>
      </c>
      <c r="D319" s="3" t="s">
        <v>47</v>
      </c>
      <c r="E319" s="4" t="s">
        <v>6</v>
      </c>
      <c r="F319" s="4" t="s">
        <v>63</v>
      </c>
      <c r="G319" s="4">
        <v>30</v>
      </c>
      <c r="H319" s="4">
        <v>266</v>
      </c>
      <c r="I319" s="4">
        <v>7980</v>
      </c>
      <c r="J319" s="4">
        <f>Table1[[#This Row],[Total Sale]]*0.2</f>
        <v>1596</v>
      </c>
      <c r="K319" s="4" t="s">
        <v>24</v>
      </c>
    </row>
    <row r="320" spans="3:11" x14ac:dyDescent="0.3">
      <c r="C320" s="3">
        <v>45794</v>
      </c>
      <c r="D320" s="3" t="s">
        <v>45</v>
      </c>
      <c r="E320" s="4" t="s">
        <v>11</v>
      </c>
      <c r="F320" s="4" t="s">
        <v>52</v>
      </c>
      <c r="G320" s="4">
        <v>17</v>
      </c>
      <c r="H320" s="4">
        <v>465</v>
      </c>
      <c r="I320" s="4">
        <v>7905</v>
      </c>
      <c r="J320" s="4">
        <f>Table1[[#This Row],[Total Sale]]*0.2</f>
        <v>1581</v>
      </c>
      <c r="K320" s="4" t="s">
        <v>17</v>
      </c>
    </row>
    <row r="321" spans="3:11" x14ac:dyDescent="0.3">
      <c r="C321" s="3">
        <v>45794</v>
      </c>
      <c r="D321" s="3" t="s">
        <v>31</v>
      </c>
      <c r="E321" s="4" t="s">
        <v>11</v>
      </c>
      <c r="F321" s="4" t="s">
        <v>59</v>
      </c>
      <c r="G321" s="4">
        <v>41</v>
      </c>
      <c r="H321" s="4">
        <v>284</v>
      </c>
      <c r="I321" s="4">
        <v>11644</v>
      </c>
      <c r="J321" s="4">
        <f>Table1[[#This Row],[Total Sale]]*0.2</f>
        <v>2328.8000000000002</v>
      </c>
      <c r="K321" s="4" t="s">
        <v>20</v>
      </c>
    </row>
    <row r="322" spans="3:11" x14ac:dyDescent="0.3">
      <c r="C322" s="3">
        <v>45793</v>
      </c>
      <c r="D322" s="3" t="s">
        <v>36</v>
      </c>
      <c r="E322" s="4" t="s">
        <v>6</v>
      </c>
      <c r="F322" s="4" t="s">
        <v>61</v>
      </c>
      <c r="G322" s="4">
        <v>45</v>
      </c>
      <c r="H322" s="4">
        <v>493</v>
      </c>
      <c r="I322" s="4">
        <v>22185</v>
      </c>
      <c r="J322" s="4">
        <f>Table1[[#This Row],[Total Sale]]*0.2</f>
        <v>4437</v>
      </c>
      <c r="K322" s="4" t="s">
        <v>22</v>
      </c>
    </row>
    <row r="323" spans="3:11" x14ac:dyDescent="0.3">
      <c r="C323" s="3">
        <v>45793</v>
      </c>
      <c r="D323" s="3" t="s">
        <v>31</v>
      </c>
      <c r="E323" s="4" t="s">
        <v>29</v>
      </c>
      <c r="F323" s="4" t="s">
        <v>69</v>
      </c>
      <c r="G323" s="4">
        <v>42</v>
      </c>
      <c r="H323" s="4">
        <v>245</v>
      </c>
      <c r="I323" s="4">
        <v>10290</v>
      </c>
      <c r="J323" s="4">
        <f>Table1[[#This Row],[Total Sale]]*0.2</f>
        <v>2058</v>
      </c>
      <c r="K323" s="4" t="s">
        <v>23</v>
      </c>
    </row>
    <row r="324" spans="3:11" x14ac:dyDescent="0.3">
      <c r="C324" s="3">
        <v>45792</v>
      </c>
      <c r="D324" s="3" t="s">
        <v>34</v>
      </c>
      <c r="E324" s="4" t="s">
        <v>10</v>
      </c>
      <c r="F324" s="4" t="s">
        <v>57</v>
      </c>
      <c r="G324" s="4">
        <v>42</v>
      </c>
      <c r="H324" s="4">
        <v>338</v>
      </c>
      <c r="I324" s="4">
        <v>14196</v>
      </c>
      <c r="J324" s="4">
        <f>Table1[[#This Row],[Total Sale]]*0.2</f>
        <v>2839.2000000000003</v>
      </c>
      <c r="K324" s="4" t="s">
        <v>21</v>
      </c>
    </row>
    <row r="325" spans="3:11" x14ac:dyDescent="0.3">
      <c r="C325" s="3">
        <v>45792</v>
      </c>
      <c r="D325" s="3" t="s">
        <v>47</v>
      </c>
      <c r="E325" s="4" t="s">
        <v>13</v>
      </c>
      <c r="F325" s="4" t="s">
        <v>62</v>
      </c>
      <c r="G325" s="4">
        <v>38</v>
      </c>
      <c r="H325" s="4">
        <v>212</v>
      </c>
      <c r="I325" s="4">
        <v>8056</v>
      </c>
      <c r="J325" s="4">
        <f>Table1[[#This Row],[Total Sale]]*0.2</f>
        <v>1611.2</v>
      </c>
      <c r="K325" s="4" t="s">
        <v>19</v>
      </c>
    </row>
    <row r="326" spans="3:11" x14ac:dyDescent="0.3">
      <c r="C326" s="3">
        <v>45791</v>
      </c>
      <c r="D326" s="3" t="s">
        <v>33</v>
      </c>
      <c r="E326" s="4" t="s">
        <v>25</v>
      </c>
      <c r="F326" s="4" t="s">
        <v>62</v>
      </c>
      <c r="G326" s="4">
        <v>43</v>
      </c>
      <c r="H326" s="4">
        <v>243</v>
      </c>
      <c r="I326" s="4">
        <v>10449</v>
      </c>
      <c r="J326" s="4">
        <f>Table1[[#This Row],[Total Sale]]*0.2</f>
        <v>2089.8000000000002</v>
      </c>
      <c r="K326" s="4" t="s">
        <v>14</v>
      </c>
    </row>
    <row r="327" spans="3:11" x14ac:dyDescent="0.3">
      <c r="C327" s="3">
        <v>45790</v>
      </c>
      <c r="D327" s="3" t="s">
        <v>32</v>
      </c>
      <c r="E327" s="4" t="s">
        <v>11</v>
      </c>
      <c r="F327" s="4" t="s">
        <v>57</v>
      </c>
      <c r="G327" s="4">
        <v>29</v>
      </c>
      <c r="H327" s="4">
        <v>262</v>
      </c>
      <c r="I327" s="4">
        <v>7598</v>
      </c>
      <c r="J327" s="4">
        <f>Table1[[#This Row],[Total Sale]]*0.2</f>
        <v>1519.6000000000001</v>
      </c>
      <c r="K327" s="4" t="s">
        <v>22</v>
      </c>
    </row>
    <row r="328" spans="3:11" x14ac:dyDescent="0.3">
      <c r="C328" s="3">
        <v>45790</v>
      </c>
      <c r="D328" s="3" t="s">
        <v>44</v>
      </c>
      <c r="E328" s="4" t="s">
        <v>16</v>
      </c>
      <c r="F328" s="4" t="s">
        <v>66</v>
      </c>
      <c r="G328" s="4">
        <v>20</v>
      </c>
      <c r="H328" s="4">
        <v>252</v>
      </c>
      <c r="I328" s="4">
        <v>5040</v>
      </c>
      <c r="J328" s="4">
        <f>Table1[[#This Row],[Total Sale]]*0.2</f>
        <v>1008</v>
      </c>
      <c r="K328" s="4" t="s">
        <v>9</v>
      </c>
    </row>
    <row r="329" spans="3:11" x14ac:dyDescent="0.3">
      <c r="C329" s="3">
        <v>45789</v>
      </c>
      <c r="D329" s="3" t="s">
        <v>38</v>
      </c>
      <c r="E329" s="4" t="s">
        <v>18</v>
      </c>
      <c r="F329" s="4" t="s">
        <v>58</v>
      </c>
      <c r="G329" s="4">
        <v>30</v>
      </c>
      <c r="H329" s="4">
        <v>452</v>
      </c>
      <c r="I329" s="4">
        <v>13560</v>
      </c>
      <c r="J329" s="4">
        <f>Table1[[#This Row],[Total Sale]]*0.2</f>
        <v>2712</v>
      </c>
      <c r="K329" s="4" t="s">
        <v>22</v>
      </c>
    </row>
    <row r="330" spans="3:11" x14ac:dyDescent="0.3">
      <c r="C330" s="3">
        <v>45788</v>
      </c>
      <c r="D330" s="3" t="s">
        <v>33</v>
      </c>
      <c r="E330" s="4" t="s">
        <v>10</v>
      </c>
      <c r="F330" s="4" t="s">
        <v>68</v>
      </c>
      <c r="G330" s="4">
        <v>34</v>
      </c>
      <c r="H330" s="4">
        <v>398</v>
      </c>
      <c r="I330" s="4">
        <v>13532</v>
      </c>
      <c r="J330" s="4">
        <f>Table1[[#This Row],[Total Sale]]*0.2</f>
        <v>2706.4</v>
      </c>
      <c r="K330" s="4" t="s">
        <v>22</v>
      </c>
    </row>
    <row r="331" spans="3:11" x14ac:dyDescent="0.3">
      <c r="C331" s="3">
        <v>45787</v>
      </c>
      <c r="D331" s="3" t="s">
        <v>34</v>
      </c>
      <c r="E331" s="4" t="s">
        <v>27</v>
      </c>
      <c r="F331" s="4" t="s">
        <v>64</v>
      </c>
      <c r="G331" s="4">
        <v>36</v>
      </c>
      <c r="H331" s="4">
        <v>204</v>
      </c>
      <c r="I331" s="4">
        <v>7344</v>
      </c>
      <c r="J331" s="4">
        <f>Table1[[#This Row],[Total Sale]]*0.2</f>
        <v>1468.8000000000002</v>
      </c>
      <c r="K331" s="4" t="s">
        <v>15</v>
      </c>
    </row>
    <row r="332" spans="3:11" x14ac:dyDescent="0.3">
      <c r="C332" s="3">
        <v>45786</v>
      </c>
      <c r="D332" s="3" t="s">
        <v>47</v>
      </c>
      <c r="E332" s="4" t="s">
        <v>29</v>
      </c>
      <c r="F332" s="4" t="s">
        <v>69</v>
      </c>
      <c r="G332" s="4">
        <v>21</v>
      </c>
      <c r="H332" s="4">
        <v>437</v>
      </c>
      <c r="I332" s="4">
        <v>9177</v>
      </c>
      <c r="J332" s="4">
        <f>Table1[[#This Row],[Total Sale]]*0.2</f>
        <v>1835.4</v>
      </c>
      <c r="K332" s="4" t="s">
        <v>22</v>
      </c>
    </row>
    <row r="333" spans="3:11" x14ac:dyDescent="0.3">
      <c r="C333" s="3">
        <v>45783</v>
      </c>
      <c r="D333" s="3" t="s">
        <v>45</v>
      </c>
      <c r="E333" s="4" t="s">
        <v>27</v>
      </c>
      <c r="F333" s="4" t="s">
        <v>55</v>
      </c>
      <c r="G333" s="4">
        <v>38</v>
      </c>
      <c r="H333" s="4">
        <v>366</v>
      </c>
      <c r="I333" s="4">
        <v>13908</v>
      </c>
      <c r="J333" s="4">
        <f>Table1[[#This Row],[Total Sale]]*0.2</f>
        <v>2781.6000000000004</v>
      </c>
      <c r="K333" s="4" t="s">
        <v>7</v>
      </c>
    </row>
    <row r="334" spans="3:11" x14ac:dyDescent="0.3">
      <c r="C334" s="3">
        <v>45782</v>
      </c>
      <c r="D334" s="3" t="s">
        <v>35</v>
      </c>
      <c r="E334" s="4" t="s">
        <v>13</v>
      </c>
      <c r="F334" s="4" t="s">
        <v>57</v>
      </c>
      <c r="G334" s="4">
        <v>27</v>
      </c>
      <c r="H334" s="4">
        <v>461</v>
      </c>
      <c r="I334" s="4">
        <v>12447</v>
      </c>
      <c r="J334" s="4">
        <f>Table1[[#This Row],[Total Sale]]*0.2</f>
        <v>2489.4</v>
      </c>
      <c r="K334" s="4" t="s">
        <v>23</v>
      </c>
    </row>
    <row r="335" spans="3:11" x14ac:dyDescent="0.3">
      <c r="C335" s="3">
        <v>45782</v>
      </c>
      <c r="D335" s="3" t="s">
        <v>43</v>
      </c>
      <c r="E335" s="4" t="s">
        <v>13</v>
      </c>
      <c r="F335" s="4" t="s">
        <v>60</v>
      </c>
      <c r="G335" s="4">
        <v>16</v>
      </c>
      <c r="H335" s="4">
        <v>216</v>
      </c>
      <c r="I335" s="4">
        <v>3456</v>
      </c>
      <c r="J335" s="4">
        <f>Table1[[#This Row],[Total Sale]]*0.2</f>
        <v>691.2</v>
      </c>
      <c r="K335" s="4" t="s">
        <v>9</v>
      </c>
    </row>
    <row r="336" spans="3:11" x14ac:dyDescent="0.3">
      <c r="C336" s="3">
        <v>45782</v>
      </c>
      <c r="D336" s="3" t="s">
        <v>36</v>
      </c>
      <c r="E336" s="4" t="s">
        <v>6</v>
      </c>
      <c r="F336" s="4" t="s">
        <v>58</v>
      </c>
      <c r="G336" s="4">
        <v>27</v>
      </c>
      <c r="H336" s="4">
        <v>372</v>
      </c>
      <c r="I336" s="4">
        <v>10044</v>
      </c>
      <c r="J336" s="4">
        <f>Table1[[#This Row],[Total Sale]]*0.2</f>
        <v>2008.8000000000002</v>
      </c>
      <c r="K336" s="4" t="s">
        <v>7</v>
      </c>
    </row>
    <row r="337" spans="3:11" x14ac:dyDescent="0.3">
      <c r="C337" s="3">
        <v>45782</v>
      </c>
      <c r="D337" s="3" t="s">
        <v>40</v>
      </c>
      <c r="E337" s="4" t="s">
        <v>29</v>
      </c>
      <c r="F337" s="4" t="s">
        <v>58</v>
      </c>
      <c r="G337" s="4">
        <v>33</v>
      </c>
      <c r="H337" s="4">
        <v>333</v>
      </c>
      <c r="I337" s="4">
        <v>10989</v>
      </c>
      <c r="J337" s="4">
        <f>Table1[[#This Row],[Total Sale]]*0.2</f>
        <v>2197.8000000000002</v>
      </c>
      <c r="K337" s="4" t="s">
        <v>9</v>
      </c>
    </row>
    <row r="338" spans="3:11" x14ac:dyDescent="0.3">
      <c r="C338" s="3">
        <v>45781</v>
      </c>
      <c r="D338" s="3" t="s">
        <v>44</v>
      </c>
      <c r="E338" s="4" t="s">
        <v>26</v>
      </c>
      <c r="F338" s="4" t="s">
        <v>64</v>
      </c>
      <c r="G338" s="4">
        <v>42</v>
      </c>
      <c r="H338" s="4">
        <v>383</v>
      </c>
      <c r="I338" s="4">
        <v>16086</v>
      </c>
      <c r="J338" s="4">
        <f>Table1[[#This Row],[Total Sale]]*0.2</f>
        <v>3217.2000000000003</v>
      </c>
      <c r="K338" s="4" t="s">
        <v>9</v>
      </c>
    </row>
    <row r="339" spans="3:11" x14ac:dyDescent="0.3">
      <c r="C339" s="3">
        <v>45781</v>
      </c>
      <c r="D339" s="3" t="s">
        <v>49</v>
      </c>
      <c r="E339" s="4" t="s">
        <v>10</v>
      </c>
      <c r="F339" s="4" t="s">
        <v>57</v>
      </c>
      <c r="G339" s="4">
        <v>44</v>
      </c>
      <c r="H339" s="4">
        <v>301</v>
      </c>
      <c r="I339" s="4">
        <v>13244</v>
      </c>
      <c r="J339" s="4">
        <f>Table1[[#This Row],[Total Sale]]*0.2</f>
        <v>2648.8</v>
      </c>
      <c r="K339" s="4" t="s">
        <v>17</v>
      </c>
    </row>
    <row r="340" spans="3:11" x14ac:dyDescent="0.3">
      <c r="C340" s="3">
        <v>45781</v>
      </c>
      <c r="D340" s="3" t="s">
        <v>48</v>
      </c>
      <c r="E340" s="4" t="s">
        <v>13</v>
      </c>
      <c r="F340" s="4" t="s">
        <v>70</v>
      </c>
      <c r="G340" s="4">
        <v>40</v>
      </c>
      <c r="H340" s="4">
        <v>435</v>
      </c>
      <c r="I340" s="4">
        <v>17400</v>
      </c>
      <c r="J340" s="4">
        <f>Table1[[#This Row],[Total Sale]]*0.2</f>
        <v>3480</v>
      </c>
      <c r="K340" s="4" t="s">
        <v>8</v>
      </c>
    </row>
    <row r="341" spans="3:11" x14ac:dyDescent="0.3">
      <c r="C341" s="3">
        <v>45780</v>
      </c>
      <c r="D341" s="3" t="s">
        <v>44</v>
      </c>
      <c r="E341" s="4" t="s">
        <v>25</v>
      </c>
      <c r="F341" s="4" t="s">
        <v>70</v>
      </c>
      <c r="G341" s="4">
        <v>43</v>
      </c>
      <c r="H341" s="4">
        <v>292</v>
      </c>
      <c r="I341" s="4">
        <v>12556</v>
      </c>
      <c r="J341" s="4">
        <f>Table1[[#This Row],[Total Sale]]*0.2</f>
        <v>2511.2000000000003</v>
      </c>
      <c r="K341" s="4" t="s">
        <v>14</v>
      </c>
    </row>
    <row r="342" spans="3:11" x14ac:dyDescent="0.3">
      <c r="C342" s="3">
        <v>45780</v>
      </c>
      <c r="D342" s="3" t="s">
        <v>32</v>
      </c>
      <c r="E342" s="4" t="s">
        <v>13</v>
      </c>
      <c r="F342" s="4" t="s">
        <v>55</v>
      </c>
      <c r="G342" s="4">
        <v>41</v>
      </c>
      <c r="H342" s="4">
        <v>472</v>
      </c>
      <c r="I342" s="4">
        <v>19352</v>
      </c>
      <c r="J342" s="4">
        <f>Table1[[#This Row],[Total Sale]]*0.2</f>
        <v>3870.4</v>
      </c>
      <c r="K342" s="4" t="s">
        <v>24</v>
      </c>
    </row>
    <row r="343" spans="3:11" x14ac:dyDescent="0.3">
      <c r="C343" s="3">
        <v>45779</v>
      </c>
      <c r="D343" s="3" t="s">
        <v>44</v>
      </c>
      <c r="E343" s="4" t="s">
        <v>13</v>
      </c>
      <c r="F343" s="4" t="s">
        <v>61</v>
      </c>
      <c r="G343" s="4">
        <v>35</v>
      </c>
      <c r="H343" s="4">
        <v>226</v>
      </c>
      <c r="I343" s="4">
        <v>7910</v>
      </c>
      <c r="J343" s="4">
        <f>Table1[[#This Row],[Total Sale]]*0.2</f>
        <v>1582</v>
      </c>
      <c r="K343" s="4" t="s">
        <v>22</v>
      </c>
    </row>
    <row r="344" spans="3:11" x14ac:dyDescent="0.3">
      <c r="C344" s="3">
        <v>45778</v>
      </c>
      <c r="D344" s="3" t="s">
        <v>45</v>
      </c>
      <c r="E344" s="4" t="s">
        <v>13</v>
      </c>
      <c r="F344" s="4" t="s">
        <v>65</v>
      </c>
      <c r="G344" s="4">
        <v>28</v>
      </c>
      <c r="H344" s="4">
        <v>439</v>
      </c>
      <c r="I344" s="4">
        <v>12292</v>
      </c>
      <c r="J344" s="4">
        <f>Table1[[#This Row],[Total Sale]]*0.2</f>
        <v>2458.4</v>
      </c>
      <c r="K344" s="4" t="s">
        <v>14</v>
      </c>
    </row>
    <row r="345" spans="3:11" x14ac:dyDescent="0.3">
      <c r="C345" s="3">
        <v>45777</v>
      </c>
      <c r="D345" s="3" t="s">
        <v>35</v>
      </c>
      <c r="E345" s="4" t="s">
        <v>27</v>
      </c>
      <c r="F345" s="4" t="s">
        <v>55</v>
      </c>
      <c r="G345" s="4">
        <v>50</v>
      </c>
      <c r="H345" s="4">
        <v>292</v>
      </c>
      <c r="I345" s="4">
        <v>14600</v>
      </c>
      <c r="J345" s="4">
        <f>Table1[[#This Row],[Total Sale]]*0.2</f>
        <v>2920</v>
      </c>
      <c r="K345" s="4" t="s">
        <v>12</v>
      </c>
    </row>
    <row r="346" spans="3:11" x14ac:dyDescent="0.3">
      <c r="C346" s="3">
        <v>45777</v>
      </c>
      <c r="D346" s="3" t="s">
        <v>40</v>
      </c>
      <c r="E346" s="4" t="s">
        <v>13</v>
      </c>
      <c r="F346" s="4" t="s">
        <v>63</v>
      </c>
      <c r="G346" s="4">
        <v>20</v>
      </c>
      <c r="H346" s="4">
        <v>477</v>
      </c>
      <c r="I346" s="4">
        <v>9540</v>
      </c>
      <c r="J346" s="4">
        <f>Table1[[#This Row],[Total Sale]]*0.2</f>
        <v>1908</v>
      </c>
      <c r="K346" s="4" t="s">
        <v>20</v>
      </c>
    </row>
    <row r="347" spans="3:11" x14ac:dyDescent="0.3">
      <c r="C347" s="3">
        <v>45775</v>
      </c>
      <c r="D347" s="3" t="s">
        <v>48</v>
      </c>
      <c r="E347" s="4" t="s">
        <v>11</v>
      </c>
      <c r="F347" s="4" t="s">
        <v>66</v>
      </c>
      <c r="G347" s="4">
        <v>20</v>
      </c>
      <c r="H347" s="4">
        <v>214</v>
      </c>
      <c r="I347" s="4">
        <v>4280</v>
      </c>
      <c r="J347" s="4">
        <f>Table1[[#This Row],[Total Sale]]*0.2</f>
        <v>856</v>
      </c>
      <c r="K347" s="4" t="s">
        <v>8</v>
      </c>
    </row>
    <row r="348" spans="3:11" x14ac:dyDescent="0.3">
      <c r="C348" s="3">
        <v>45774</v>
      </c>
      <c r="D348" s="3" t="s">
        <v>39</v>
      </c>
      <c r="E348" s="4" t="s">
        <v>10</v>
      </c>
      <c r="F348" s="4" t="s">
        <v>60</v>
      </c>
      <c r="G348" s="4">
        <v>36</v>
      </c>
      <c r="H348" s="4">
        <v>270</v>
      </c>
      <c r="I348" s="4">
        <v>9720</v>
      </c>
      <c r="J348" s="4">
        <f>Table1[[#This Row],[Total Sale]]*0.2</f>
        <v>1944</v>
      </c>
      <c r="K348" s="4" t="s">
        <v>7</v>
      </c>
    </row>
    <row r="349" spans="3:11" x14ac:dyDescent="0.3">
      <c r="C349" s="3">
        <v>45774</v>
      </c>
      <c r="D349" s="3" t="s">
        <v>36</v>
      </c>
      <c r="E349" s="4" t="s">
        <v>29</v>
      </c>
      <c r="F349" s="4" t="s">
        <v>53</v>
      </c>
      <c r="G349" s="4">
        <v>29</v>
      </c>
      <c r="H349" s="4">
        <v>294</v>
      </c>
      <c r="I349" s="4">
        <v>8526</v>
      </c>
      <c r="J349" s="4">
        <f>Table1[[#This Row],[Total Sale]]*0.2</f>
        <v>1705.2</v>
      </c>
      <c r="K349" s="4" t="s">
        <v>12</v>
      </c>
    </row>
    <row r="350" spans="3:11" x14ac:dyDescent="0.3">
      <c r="C350" s="3">
        <v>45773</v>
      </c>
      <c r="D350" s="3" t="s">
        <v>48</v>
      </c>
      <c r="E350" s="4" t="s">
        <v>27</v>
      </c>
      <c r="F350" s="4" t="s">
        <v>52</v>
      </c>
      <c r="G350" s="4">
        <v>50</v>
      </c>
      <c r="H350" s="4">
        <v>267</v>
      </c>
      <c r="I350" s="4">
        <v>13350</v>
      </c>
      <c r="J350" s="4">
        <f>Table1[[#This Row],[Total Sale]]*0.2</f>
        <v>2670</v>
      </c>
      <c r="K350" s="4" t="s">
        <v>22</v>
      </c>
    </row>
    <row r="351" spans="3:11" x14ac:dyDescent="0.3">
      <c r="C351" s="3">
        <v>45773</v>
      </c>
      <c r="D351" s="3" t="s">
        <v>39</v>
      </c>
      <c r="E351" s="4" t="s">
        <v>27</v>
      </c>
      <c r="F351" s="4" t="s">
        <v>66</v>
      </c>
      <c r="G351" s="4">
        <v>35</v>
      </c>
      <c r="H351" s="4">
        <v>236</v>
      </c>
      <c r="I351" s="4">
        <v>8260</v>
      </c>
      <c r="J351" s="4">
        <f>Table1[[#This Row],[Total Sale]]*0.2</f>
        <v>1652</v>
      </c>
      <c r="K351" s="4" t="s">
        <v>14</v>
      </c>
    </row>
    <row r="352" spans="3:11" x14ac:dyDescent="0.3">
      <c r="C352" s="3">
        <v>45773</v>
      </c>
      <c r="D352" s="3" t="s">
        <v>33</v>
      </c>
      <c r="E352" s="4" t="s">
        <v>18</v>
      </c>
      <c r="F352" s="4" t="s">
        <v>55</v>
      </c>
      <c r="G352" s="4">
        <v>30</v>
      </c>
      <c r="H352" s="4">
        <v>328</v>
      </c>
      <c r="I352" s="4">
        <v>9840</v>
      </c>
      <c r="J352" s="4">
        <f>Table1[[#This Row],[Total Sale]]*0.2</f>
        <v>1968</v>
      </c>
      <c r="K352" s="4" t="s">
        <v>28</v>
      </c>
    </row>
    <row r="353" spans="3:11" x14ac:dyDescent="0.3">
      <c r="C353" s="3">
        <v>45772</v>
      </c>
      <c r="D353" s="3" t="s">
        <v>37</v>
      </c>
      <c r="E353" s="4" t="s">
        <v>11</v>
      </c>
      <c r="F353" s="4" t="s">
        <v>68</v>
      </c>
      <c r="G353" s="4">
        <v>15</v>
      </c>
      <c r="H353" s="4">
        <v>281</v>
      </c>
      <c r="I353" s="4">
        <v>4215</v>
      </c>
      <c r="J353" s="4">
        <f>Table1[[#This Row],[Total Sale]]*0.2</f>
        <v>843</v>
      </c>
      <c r="K353" s="4" t="s">
        <v>23</v>
      </c>
    </row>
    <row r="354" spans="3:11" x14ac:dyDescent="0.3">
      <c r="C354" s="3">
        <v>45772</v>
      </c>
      <c r="D354" s="3" t="s">
        <v>39</v>
      </c>
      <c r="E354" s="4" t="s">
        <v>6</v>
      </c>
      <c r="F354" s="4" t="s">
        <v>61</v>
      </c>
      <c r="G354" s="4">
        <v>21</v>
      </c>
      <c r="H354" s="4">
        <v>384</v>
      </c>
      <c r="I354" s="4">
        <v>8064</v>
      </c>
      <c r="J354" s="4">
        <f>Table1[[#This Row],[Total Sale]]*0.2</f>
        <v>1612.8000000000002</v>
      </c>
      <c r="K354" s="4" t="s">
        <v>9</v>
      </c>
    </row>
    <row r="355" spans="3:11" x14ac:dyDescent="0.3">
      <c r="C355" s="3">
        <v>45770</v>
      </c>
      <c r="D355" s="3" t="s">
        <v>36</v>
      </c>
      <c r="E355" s="4" t="s">
        <v>6</v>
      </c>
      <c r="F355" s="4" t="s">
        <v>58</v>
      </c>
      <c r="G355" s="4">
        <v>39</v>
      </c>
      <c r="H355" s="4">
        <v>283</v>
      </c>
      <c r="I355" s="4">
        <v>11037</v>
      </c>
      <c r="J355" s="4">
        <f>Table1[[#This Row],[Total Sale]]*0.2</f>
        <v>2207.4</v>
      </c>
      <c r="K355" s="4" t="s">
        <v>14</v>
      </c>
    </row>
    <row r="356" spans="3:11" x14ac:dyDescent="0.3">
      <c r="C356" s="3">
        <v>45770</v>
      </c>
      <c r="D356" s="3" t="s">
        <v>45</v>
      </c>
      <c r="E356" s="4" t="s">
        <v>16</v>
      </c>
      <c r="F356" s="4" t="s">
        <v>61</v>
      </c>
      <c r="G356" s="4">
        <v>22</v>
      </c>
      <c r="H356" s="4">
        <v>433</v>
      </c>
      <c r="I356" s="4">
        <v>9526</v>
      </c>
      <c r="J356" s="4">
        <f>Table1[[#This Row],[Total Sale]]*0.2</f>
        <v>1905.2</v>
      </c>
      <c r="K356" s="4" t="s">
        <v>17</v>
      </c>
    </row>
    <row r="357" spans="3:11" x14ac:dyDescent="0.3">
      <c r="C357" s="3">
        <v>45770</v>
      </c>
      <c r="D357" s="3" t="s">
        <v>33</v>
      </c>
      <c r="E357" s="4" t="s">
        <v>29</v>
      </c>
      <c r="F357" s="4" t="s">
        <v>67</v>
      </c>
      <c r="G357" s="4">
        <v>43</v>
      </c>
      <c r="H357" s="4">
        <v>238</v>
      </c>
      <c r="I357" s="4">
        <v>10234</v>
      </c>
      <c r="J357" s="4">
        <f>Table1[[#This Row],[Total Sale]]*0.2</f>
        <v>2046.8000000000002</v>
      </c>
      <c r="K357" s="4" t="s">
        <v>7</v>
      </c>
    </row>
    <row r="358" spans="3:11" x14ac:dyDescent="0.3">
      <c r="C358" s="3">
        <v>45769</v>
      </c>
      <c r="D358" s="3" t="s">
        <v>32</v>
      </c>
      <c r="E358" s="4" t="s">
        <v>10</v>
      </c>
      <c r="F358" s="4" t="s">
        <v>59</v>
      </c>
      <c r="G358" s="4">
        <v>39</v>
      </c>
      <c r="H358" s="4">
        <v>399</v>
      </c>
      <c r="I358" s="4">
        <v>15561</v>
      </c>
      <c r="J358" s="4">
        <f>Table1[[#This Row],[Total Sale]]*0.2</f>
        <v>3112.2000000000003</v>
      </c>
      <c r="K358" s="4" t="s">
        <v>28</v>
      </c>
    </row>
    <row r="359" spans="3:11" x14ac:dyDescent="0.3">
      <c r="C359" s="3">
        <v>45768</v>
      </c>
      <c r="D359" s="3" t="s">
        <v>36</v>
      </c>
      <c r="E359" s="4" t="s">
        <v>26</v>
      </c>
      <c r="F359" s="4" t="s">
        <v>59</v>
      </c>
      <c r="G359" s="4">
        <v>25</v>
      </c>
      <c r="H359" s="4">
        <v>436</v>
      </c>
      <c r="I359" s="4">
        <v>10900</v>
      </c>
      <c r="J359" s="4">
        <f>Table1[[#This Row],[Total Sale]]*0.2</f>
        <v>2180</v>
      </c>
      <c r="K359" s="4" t="s">
        <v>24</v>
      </c>
    </row>
    <row r="360" spans="3:11" x14ac:dyDescent="0.3">
      <c r="C360" s="3">
        <v>45768</v>
      </c>
      <c r="D360" s="3" t="s">
        <v>48</v>
      </c>
      <c r="E360" s="4" t="s">
        <v>10</v>
      </c>
      <c r="F360" s="4" t="s">
        <v>63</v>
      </c>
      <c r="G360" s="4">
        <v>13</v>
      </c>
      <c r="H360" s="4">
        <v>208</v>
      </c>
      <c r="I360" s="4">
        <v>2704</v>
      </c>
      <c r="J360" s="4">
        <f>Table1[[#This Row],[Total Sale]]*0.2</f>
        <v>540.80000000000007</v>
      </c>
      <c r="K360" s="4" t="s">
        <v>9</v>
      </c>
    </row>
    <row r="361" spans="3:11" x14ac:dyDescent="0.3">
      <c r="C361" s="3">
        <v>45767</v>
      </c>
      <c r="D361" s="3" t="s">
        <v>37</v>
      </c>
      <c r="E361" s="4" t="s">
        <v>13</v>
      </c>
      <c r="F361" s="4" t="s">
        <v>66</v>
      </c>
      <c r="G361" s="4">
        <v>18</v>
      </c>
      <c r="H361" s="4">
        <v>273</v>
      </c>
      <c r="I361" s="4">
        <v>4914</v>
      </c>
      <c r="J361" s="4">
        <f>Table1[[#This Row],[Total Sale]]*0.2</f>
        <v>982.80000000000007</v>
      </c>
      <c r="K361" s="4" t="s">
        <v>28</v>
      </c>
    </row>
    <row r="362" spans="3:11" x14ac:dyDescent="0.3">
      <c r="C362" s="3">
        <v>45765</v>
      </c>
      <c r="D362" s="3" t="s">
        <v>43</v>
      </c>
      <c r="E362" s="4" t="s">
        <v>27</v>
      </c>
      <c r="F362" s="4" t="s">
        <v>63</v>
      </c>
      <c r="G362" s="4">
        <v>34</v>
      </c>
      <c r="H362" s="4">
        <v>311</v>
      </c>
      <c r="I362" s="4">
        <v>10574</v>
      </c>
      <c r="J362" s="4">
        <f>Table1[[#This Row],[Total Sale]]*0.2</f>
        <v>2114.8000000000002</v>
      </c>
      <c r="K362" s="4" t="s">
        <v>21</v>
      </c>
    </row>
    <row r="363" spans="3:11" x14ac:dyDescent="0.3">
      <c r="C363" s="3">
        <v>45765</v>
      </c>
      <c r="D363" s="3" t="s">
        <v>36</v>
      </c>
      <c r="E363" s="4" t="s">
        <v>26</v>
      </c>
      <c r="F363" s="4" t="s">
        <v>55</v>
      </c>
      <c r="G363" s="4">
        <v>46</v>
      </c>
      <c r="H363" s="4">
        <v>350</v>
      </c>
      <c r="I363" s="4">
        <v>16100</v>
      </c>
      <c r="J363" s="4">
        <f>Table1[[#This Row],[Total Sale]]*0.2</f>
        <v>3220</v>
      </c>
      <c r="K363" s="4" t="s">
        <v>9</v>
      </c>
    </row>
    <row r="364" spans="3:11" x14ac:dyDescent="0.3">
      <c r="C364" s="3">
        <v>45764</v>
      </c>
      <c r="D364" s="3" t="s">
        <v>37</v>
      </c>
      <c r="E364" s="4" t="s">
        <v>27</v>
      </c>
      <c r="F364" s="4" t="s">
        <v>53</v>
      </c>
      <c r="G364" s="4">
        <v>11</v>
      </c>
      <c r="H364" s="4">
        <v>485</v>
      </c>
      <c r="I364" s="4">
        <v>5335</v>
      </c>
      <c r="J364" s="4">
        <f>Table1[[#This Row],[Total Sale]]*0.2</f>
        <v>1067</v>
      </c>
      <c r="K364" s="4" t="s">
        <v>23</v>
      </c>
    </row>
    <row r="365" spans="3:11" x14ac:dyDescent="0.3">
      <c r="C365" s="3">
        <v>45764</v>
      </c>
      <c r="D365" s="3" t="s">
        <v>34</v>
      </c>
      <c r="E365" s="4" t="s">
        <v>25</v>
      </c>
      <c r="F365" s="4" t="s">
        <v>63</v>
      </c>
      <c r="G365" s="4">
        <v>11</v>
      </c>
      <c r="H365" s="4">
        <v>481</v>
      </c>
      <c r="I365" s="4">
        <v>5291</v>
      </c>
      <c r="J365" s="4">
        <f>Table1[[#This Row],[Total Sale]]*0.2</f>
        <v>1058.2</v>
      </c>
      <c r="K365" s="4" t="s">
        <v>15</v>
      </c>
    </row>
    <row r="366" spans="3:11" x14ac:dyDescent="0.3">
      <c r="C366" s="3">
        <v>45764</v>
      </c>
      <c r="D366" s="3" t="s">
        <v>46</v>
      </c>
      <c r="E366" s="4" t="s">
        <v>25</v>
      </c>
      <c r="F366" s="4" t="s">
        <v>63</v>
      </c>
      <c r="G366" s="4">
        <v>39</v>
      </c>
      <c r="H366" s="4">
        <v>385</v>
      </c>
      <c r="I366" s="4">
        <v>15015</v>
      </c>
      <c r="J366" s="4">
        <f>Table1[[#This Row],[Total Sale]]*0.2</f>
        <v>3003</v>
      </c>
      <c r="K366" s="4" t="s">
        <v>14</v>
      </c>
    </row>
    <row r="367" spans="3:11" x14ac:dyDescent="0.3">
      <c r="C367" s="3">
        <v>45763</v>
      </c>
      <c r="D367" s="3" t="s">
        <v>40</v>
      </c>
      <c r="E367" s="4" t="s">
        <v>10</v>
      </c>
      <c r="F367" s="4" t="s">
        <v>63</v>
      </c>
      <c r="G367" s="4">
        <v>36</v>
      </c>
      <c r="H367" s="4">
        <v>461</v>
      </c>
      <c r="I367" s="4">
        <v>16596</v>
      </c>
      <c r="J367" s="4">
        <f>Table1[[#This Row],[Total Sale]]*0.2</f>
        <v>3319.2000000000003</v>
      </c>
      <c r="K367" s="4" t="s">
        <v>28</v>
      </c>
    </row>
    <row r="368" spans="3:11" x14ac:dyDescent="0.3">
      <c r="C368" s="3">
        <v>45762</v>
      </c>
      <c r="D368" s="3" t="s">
        <v>34</v>
      </c>
      <c r="E368" s="4" t="s">
        <v>10</v>
      </c>
      <c r="F368" s="4" t="s">
        <v>63</v>
      </c>
      <c r="G368" s="4">
        <v>35</v>
      </c>
      <c r="H368" s="4">
        <v>333</v>
      </c>
      <c r="I368" s="4">
        <v>11655</v>
      </c>
      <c r="J368" s="4">
        <f>Table1[[#This Row],[Total Sale]]*0.2</f>
        <v>2331</v>
      </c>
      <c r="K368" s="4" t="s">
        <v>9</v>
      </c>
    </row>
    <row r="369" spans="3:11" x14ac:dyDescent="0.3">
      <c r="C369" s="3">
        <v>45760</v>
      </c>
      <c r="D369" s="3" t="s">
        <v>36</v>
      </c>
      <c r="E369" s="4" t="s">
        <v>25</v>
      </c>
      <c r="F369" s="4" t="s">
        <v>58</v>
      </c>
      <c r="G369" s="4">
        <v>24</v>
      </c>
      <c r="H369" s="4">
        <v>441</v>
      </c>
      <c r="I369" s="4">
        <v>10584</v>
      </c>
      <c r="J369" s="4">
        <f>Table1[[#This Row],[Total Sale]]*0.2</f>
        <v>2116.8000000000002</v>
      </c>
      <c r="K369" s="4" t="s">
        <v>28</v>
      </c>
    </row>
    <row r="370" spans="3:11" x14ac:dyDescent="0.3">
      <c r="C370" s="3">
        <v>45759</v>
      </c>
      <c r="D370" s="3" t="s">
        <v>39</v>
      </c>
      <c r="E370" s="4" t="s">
        <v>13</v>
      </c>
      <c r="F370" s="4" t="s">
        <v>66</v>
      </c>
      <c r="G370" s="4">
        <v>10</v>
      </c>
      <c r="H370" s="4">
        <v>483</v>
      </c>
      <c r="I370" s="4">
        <v>4830</v>
      </c>
      <c r="J370" s="4">
        <f>Table1[[#This Row],[Total Sale]]*0.2</f>
        <v>966</v>
      </c>
      <c r="K370" s="4" t="s">
        <v>22</v>
      </c>
    </row>
    <row r="371" spans="3:11" x14ac:dyDescent="0.3">
      <c r="C371" s="3">
        <v>45759</v>
      </c>
      <c r="D371" s="3" t="s">
        <v>36</v>
      </c>
      <c r="E371" s="4" t="s">
        <v>6</v>
      </c>
      <c r="F371" s="4" t="s">
        <v>53</v>
      </c>
      <c r="G371" s="4">
        <v>50</v>
      </c>
      <c r="H371" s="4">
        <v>397</v>
      </c>
      <c r="I371" s="4">
        <v>19850</v>
      </c>
      <c r="J371" s="4">
        <f>Table1[[#This Row],[Total Sale]]*0.2</f>
        <v>3970</v>
      </c>
      <c r="K371" s="4" t="s">
        <v>17</v>
      </c>
    </row>
    <row r="372" spans="3:11" x14ac:dyDescent="0.3">
      <c r="C372" s="3">
        <v>45759</v>
      </c>
      <c r="D372" s="3" t="s">
        <v>49</v>
      </c>
      <c r="E372" s="4" t="s">
        <v>29</v>
      </c>
      <c r="F372" s="4" t="s">
        <v>69</v>
      </c>
      <c r="G372" s="4">
        <v>33</v>
      </c>
      <c r="H372" s="4">
        <v>281</v>
      </c>
      <c r="I372" s="4">
        <v>9273</v>
      </c>
      <c r="J372" s="4">
        <f>Table1[[#This Row],[Total Sale]]*0.2</f>
        <v>1854.6000000000001</v>
      </c>
      <c r="K372" s="4" t="s">
        <v>8</v>
      </c>
    </row>
    <row r="373" spans="3:11" x14ac:dyDescent="0.3">
      <c r="C373" s="3">
        <v>45758</v>
      </c>
      <c r="D373" s="3" t="s">
        <v>34</v>
      </c>
      <c r="E373" s="4" t="s">
        <v>27</v>
      </c>
      <c r="F373" s="4" t="s">
        <v>68</v>
      </c>
      <c r="G373" s="4">
        <v>25</v>
      </c>
      <c r="H373" s="4">
        <v>401</v>
      </c>
      <c r="I373" s="4">
        <v>10025</v>
      </c>
      <c r="J373" s="4">
        <f>Table1[[#This Row],[Total Sale]]*0.2</f>
        <v>2005</v>
      </c>
      <c r="K373" s="4" t="s">
        <v>9</v>
      </c>
    </row>
    <row r="374" spans="3:11" x14ac:dyDescent="0.3">
      <c r="C374" s="3">
        <v>45757</v>
      </c>
      <c r="D374" s="3" t="s">
        <v>34</v>
      </c>
      <c r="E374" s="4" t="s">
        <v>27</v>
      </c>
      <c r="F374" s="4" t="s">
        <v>55</v>
      </c>
      <c r="G374" s="4">
        <v>43</v>
      </c>
      <c r="H374" s="4">
        <v>427</v>
      </c>
      <c r="I374" s="4">
        <v>18361</v>
      </c>
      <c r="J374" s="4">
        <f>Table1[[#This Row],[Total Sale]]*0.2</f>
        <v>3672.2000000000003</v>
      </c>
      <c r="K374" s="4" t="s">
        <v>12</v>
      </c>
    </row>
    <row r="375" spans="3:11" x14ac:dyDescent="0.3">
      <c r="C375" s="3">
        <v>45757</v>
      </c>
      <c r="D375" s="3" t="s">
        <v>40</v>
      </c>
      <c r="E375" s="4" t="s">
        <v>11</v>
      </c>
      <c r="F375" s="4" t="s">
        <v>58</v>
      </c>
      <c r="G375" s="4">
        <v>16</v>
      </c>
      <c r="H375" s="4">
        <v>462</v>
      </c>
      <c r="I375" s="4">
        <v>7392</v>
      </c>
      <c r="J375" s="4">
        <f>Table1[[#This Row],[Total Sale]]*0.2</f>
        <v>1478.4</v>
      </c>
      <c r="K375" s="4" t="s">
        <v>24</v>
      </c>
    </row>
    <row r="376" spans="3:11" x14ac:dyDescent="0.3">
      <c r="C376" s="3">
        <v>45756</v>
      </c>
      <c r="D376" s="3" t="s">
        <v>49</v>
      </c>
      <c r="E376" s="4" t="s">
        <v>25</v>
      </c>
      <c r="F376" s="4" t="s">
        <v>68</v>
      </c>
      <c r="G376" s="4">
        <v>50</v>
      </c>
      <c r="H376" s="4">
        <v>290</v>
      </c>
      <c r="I376" s="4">
        <v>14500</v>
      </c>
      <c r="J376" s="4">
        <f>Table1[[#This Row],[Total Sale]]*0.2</f>
        <v>2900</v>
      </c>
      <c r="K376" s="4" t="s">
        <v>21</v>
      </c>
    </row>
    <row r="377" spans="3:11" x14ac:dyDescent="0.3">
      <c r="C377" s="3">
        <v>45756</v>
      </c>
      <c r="D377" s="3" t="s">
        <v>48</v>
      </c>
      <c r="E377" s="4" t="s">
        <v>29</v>
      </c>
      <c r="F377" s="4" t="s">
        <v>68</v>
      </c>
      <c r="G377" s="4">
        <v>49</v>
      </c>
      <c r="H377" s="4">
        <v>211</v>
      </c>
      <c r="I377" s="4">
        <v>10339</v>
      </c>
      <c r="J377" s="4">
        <f>Table1[[#This Row],[Total Sale]]*0.2</f>
        <v>2067.8000000000002</v>
      </c>
      <c r="K377" s="4" t="s">
        <v>8</v>
      </c>
    </row>
    <row r="378" spans="3:11" x14ac:dyDescent="0.3">
      <c r="C378" s="3">
        <v>45755</v>
      </c>
      <c r="D378" s="3" t="s">
        <v>47</v>
      </c>
      <c r="E378" s="4" t="s">
        <v>26</v>
      </c>
      <c r="F378" s="4" t="s">
        <v>52</v>
      </c>
      <c r="G378" s="4">
        <v>38</v>
      </c>
      <c r="H378" s="4">
        <v>283</v>
      </c>
      <c r="I378" s="4">
        <v>10754</v>
      </c>
      <c r="J378" s="4">
        <f>Table1[[#This Row],[Total Sale]]*0.2</f>
        <v>2150.8000000000002</v>
      </c>
      <c r="K378" s="4" t="s">
        <v>7</v>
      </c>
    </row>
    <row r="379" spans="3:11" x14ac:dyDescent="0.3">
      <c r="C379" s="3">
        <v>45754</v>
      </c>
      <c r="D379" s="3" t="s">
        <v>33</v>
      </c>
      <c r="E379" s="4" t="s">
        <v>18</v>
      </c>
      <c r="F379" s="4" t="s">
        <v>57</v>
      </c>
      <c r="G379" s="4">
        <v>50</v>
      </c>
      <c r="H379" s="4">
        <v>366</v>
      </c>
      <c r="I379" s="4">
        <v>18300</v>
      </c>
      <c r="J379" s="4">
        <f>Table1[[#This Row],[Total Sale]]*0.2</f>
        <v>3660</v>
      </c>
      <c r="K379" s="4" t="s">
        <v>19</v>
      </c>
    </row>
    <row r="380" spans="3:11" x14ac:dyDescent="0.3">
      <c r="C380" s="3">
        <v>45753</v>
      </c>
      <c r="D380" s="3" t="s">
        <v>49</v>
      </c>
      <c r="E380" s="4" t="s">
        <v>11</v>
      </c>
      <c r="F380" s="4" t="s">
        <v>70</v>
      </c>
      <c r="G380" s="4">
        <v>30</v>
      </c>
      <c r="H380" s="4">
        <v>461</v>
      </c>
      <c r="I380" s="4">
        <v>13830</v>
      </c>
      <c r="J380" s="4">
        <f>Table1[[#This Row],[Total Sale]]*0.2</f>
        <v>2766</v>
      </c>
      <c r="K380" s="4" t="s">
        <v>14</v>
      </c>
    </row>
    <row r="381" spans="3:11" x14ac:dyDescent="0.3">
      <c r="C381" s="3">
        <v>45752</v>
      </c>
      <c r="D381" s="3" t="s">
        <v>39</v>
      </c>
      <c r="E381" s="4" t="s">
        <v>26</v>
      </c>
      <c r="F381" s="4" t="s">
        <v>65</v>
      </c>
      <c r="G381" s="4">
        <v>12</v>
      </c>
      <c r="H381" s="4">
        <v>212</v>
      </c>
      <c r="I381" s="4">
        <v>2544</v>
      </c>
      <c r="J381" s="4">
        <f>Table1[[#This Row],[Total Sale]]*0.2</f>
        <v>508.8</v>
      </c>
      <c r="K381" s="4" t="s">
        <v>15</v>
      </c>
    </row>
    <row r="382" spans="3:11" x14ac:dyDescent="0.3">
      <c r="C382" s="3">
        <v>45752</v>
      </c>
      <c r="D382" s="3" t="s">
        <v>37</v>
      </c>
      <c r="E382" s="4" t="s">
        <v>13</v>
      </c>
      <c r="F382" s="4" t="s">
        <v>51</v>
      </c>
      <c r="G382" s="4">
        <v>42</v>
      </c>
      <c r="H382" s="4">
        <v>483</v>
      </c>
      <c r="I382" s="4">
        <v>20286</v>
      </c>
      <c r="J382" s="4">
        <f>Table1[[#This Row],[Total Sale]]*0.2</f>
        <v>4057.2000000000003</v>
      </c>
      <c r="K382" s="4" t="s">
        <v>28</v>
      </c>
    </row>
    <row r="383" spans="3:11" x14ac:dyDescent="0.3">
      <c r="C383" s="3">
        <v>45752</v>
      </c>
      <c r="D383" s="3" t="s">
        <v>41</v>
      </c>
      <c r="E383" s="4" t="s">
        <v>18</v>
      </c>
      <c r="F383" s="4" t="s">
        <v>60</v>
      </c>
      <c r="G383" s="4">
        <v>18</v>
      </c>
      <c r="H383" s="4">
        <v>395</v>
      </c>
      <c r="I383" s="4">
        <v>7110</v>
      </c>
      <c r="J383" s="4">
        <f>Table1[[#This Row],[Total Sale]]*0.2</f>
        <v>1422</v>
      </c>
      <c r="K383" s="4" t="s">
        <v>17</v>
      </c>
    </row>
    <row r="384" spans="3:11" x14ac:dyDescent="0.3">
      <c r="C384" s="3">
        <v>45752</v>
      </c>
      <c r="D384" s="3" t="s">
        <v>41</v>
      </c>
      <c r="E384" s="4" t="s">
        <v>18</v>
      </c>
      <c r="F384" s="4" t="s">
        <v>61</v>
      </c>
      <c r="G384" s="4">
        <v>11</v>
      </c>
      <c r="H384" s="4">
        <v>251</v>
      </c>
      <c r="I384" s="4">
        <v>2761</v>
      </c>
      <c r="J384" s="4">
        <f>Table1[[#This Row],[Total Sale]]*0.2</f>
        <v>552.20000000000005</v>
      </c>
      <c r="K384" s="4" t="s">
        <v>19</v>
      </c>
    </row>
    <row r="385" spans="3:11" x14ac:dyDescent="0.3">
      <c r="C385" s="3">
        <v>45751</v>
      </c>
      <c r="D385" s="3" t="s">
        <v>37</v>
      </c>
      <c r="E385" s="4" t="s">
        <v>27</v>
      </c>
      <c r="F385" s="4" t="s">
        <v>56</v>
      </c>
      <c r="G385" s="4">
        <v>16</v>
      </c>
      <c r="H385" s="4">
        <v>256</v>
      </c>
      <c r="I385" s="4">
        <v>4096</v>
      </c>
      <c r="J385" s="4">
        <f>Table1[[#This Row],[Total Sale]]*0.2</f>
        <v>819.2</v>
      </c>
      <c r="K385" s="4" t="s">
        <v>7</v>
      </c>
    </row>
    <row r="386" spans="3:11" x14ac:dyDescent="0.3">
      <c r="C386" s="3">
        <v>45750</v>
      </c>
      <c r="D386" s="3" t="s">
        <v>48</v>
      </c>
      <c r="E386" s="4" t="s">
        <v>18</v>
      </c>
      <c r="F386" s="4" t="s">
        <v>61</v>
      </c>
      <c r="G386" s="4">
        <v>11</v>
      </c>
      <c r="H386" s="4">
        <v>475</v>
      </c>
      <c r="I386" s="4">
        <v>5225</v>
      </c>
      <c r="J386" s="4">
        <f>Table1[[#This Row],[Total Sale]]*0.2</f>
        <v>1045</v>
      </c>
      <c r="K386" s="4" t="s">
        <v>7</v>
      </c>
    </row>
    <row r="387" spans="3:11" x14ac:dyDescent="0.3">
      <c r="C387" s="3">
        <v>45748</v>
      </c>
      <c r="D387" s="3" t="s">
        <v>37</v>
      </c>
      <c r="E387" s="4" t="s">
        <v>25</v>
      </c>
      <c r="F387" s="4" t="s">
        <v>67</v>
      </c>
      <c r="G387" s="4">
        <v>46</v>
      </c>
      <c r="H387" s="4">
        <v>489</v>
      </c>
      <c r="I387" s="4">
        <v>22494</v>
      </c>
      <c r="J387" s="4">
        <f>Table1[[#This Row],[Total Sale]]*0.2</f>
        <v>4498.8</v>
      </c>
      <c r="K387" s="4" t="s">
        <v>24</v>
      </c>
    </row>
    <row r="388" spans="3:11" x14ac:dyDescent="0.3">
      <c r="C388" s="3">
        <v>45747</v>
      </c>
      <c r="D388" s="3" t="s">
        <v>34</v>
      </c>
      <c r="E388" s="4" t="s">
        <v>18</v>
      </c>
      <c r="F388" s="4" t="s">
        <v>69</v>
      </c>
      <c r="G388" s="4">
        <v>46</v>
      </c>
      <c r="H388" s="4">
        <v>402</v>
      </c>
      <c r="I388" s="4">
        <v>18492</v>
      </c>
      <c r="J388" s="4">
        <f>Table1[[#This Row],[Total Sale]]*0.2</f>
        <v>3698.4</v>
      </c>
      <c r="K388" s="4" t="s">
        <v>22</v>
      </c>
    </row>
    <row r="389" spans="3:11" x14ac:dyDescent="0.3">
      <c r="C389" s="3">
        <v>45746</v>
      </c>
      <c r="D389" s="3" t="s">
        <v>39</v>
      </c>
      <c r="E389" s="4" t="s">
        <v>16</v>
      </c>
      <c r="F389" s="4" t="s">
        <v>63</v>
      </c>
      <c r="G389" s="4">
        <v>26</v>
      </c>
      <c r="H389" s="4">
        <v>491</v>
      </c>
      <c r="I389" s="4">
        <v>12766</v>
      </c>
      <c r="J389" s="4">
        <f>Table1[[#This Row],[Total Sale]]*0.2</f>
        <v>2553.2000000000003</v>
      </c>
      <c r="K389" s="4" t="s">
        <v>22</v>
      </c>
    </row>
    <row r="390" spans="3:11" x14ac:dyDescent="0.3">
      <c r="C390" s="3">
        <v>45745</v>
      </c>
      <c r="D390" s="3" t="s">
        <v>31</v>
      </c>
      <c r="E390" s="4" t="s">
        <v>18</v>
      </c>
      <c r="F390" s="4" t="s">
        <v>54</v>
      </c>
      <c r="G390" s="4">
        <v>46</v>
      </c>
      <c r="H390" s="4">
        <v>292</v>
      </c>
      <c r="I390" s="4">
        <v>13432</v>
      </c>
      <c r="J390" s="4">
        <f>Table1[[#This Row],[Total Sale]]*0.2</f>
        <v>2686.4</v>
      </c>
      <c r="K390" s="4" t="s">
        <v>24</v>
      </c>
    </row>
    <row r="391" spans="3:11" x14ac:dyDescent="0.3">
      <c r="C391" s="3">
        <v>45744</v>
      </c>
      <c r="D391" s="3" t="s">
        <v>45</v>
      </c>
      <c r="E391" s="4" t="s">
        <v>11</v>
      </c>
      <c r="F391" s="4" t="s">
        <v>59</v>
      </c>
      <c r="G391" s="4">
        <v>46</v>
      </c>
      <c r="H391" s="4">
        <v>480</v>
      </c>
      <c r="I391" s="4">
        <v>22080</v>
      </c>
      <c r="J391" s="4">
        <f>Table1[[#This Row],[Total Sale]]*0.2</f>
        <v>4416</v>
      </c>
      <c r="K391" s="4" t="s">
        <v>9</v>
      </c>
    </row>
    <row r="392" spans="3:11" x14ac:dyDescent="0.3">
      <c r="C392" s="3">
        <v>45744</v>
      </c>
      <c r="D392" s="3" t="s">
        <v>43</v>
      </c>
      <c r="E392" s="4" t="s">
        <v>10</v>
      </c>
      <c r="F392" s="4" t="s">
        <v>59</v>
      </c>
      <c r="G392" s="4">
        <v>32</v>
      </c>
      <c r="H392" s="4">
        <v>466</v>
      </c>
      <c r="I392" s="4">
        <v>14912</v>
      </c>
      <c r="J392" s="4">
        <f>Table1[[#This Row],[Total Sale]]*0.2</f>
        <v>2982.4</v>
      </c>
      <c r="K392" s="4" t="s">
        <v>12</v>
      </c>
    </row>
    <row r="393" spans="3:11" x14ac:dyDescent="0.3">
      <c r="C393" s="3">
        <v>45744</v>
      </c>
      <c r="D393" s="3" t="s">
        <v>47</v>
      </c>
      <c r="E393" s="4" t="s">
        <v>16</v>
      </c>
      <c r="F393" s="4" t="s">
        <v>61</v>
      </c>
      <c r="G393" s="4">
        <v>45</v>
      </c>
      <c r="H393" s="4">
        <v>461</v>
      </c>
      <c r="I393" s="4">
        <v>20745</v>
      </c>
      <c r="J393" s="4">
        <f>Table1[[#This Row],[Total Sale]]*0.2</f>
        <v>4149</v>
      </c>
      <c r="K393" s="4" t="s">
        <v>24</v>
      </c>
    </row>
    <row r="394" spans="3:11" x14ac:dyDescent="0.3">
      <c r="C394" s="3">
        <v>45743</v>
      </c>
      <c r="D394" s="3" t="s">
        <v>42</v>
      </c>
      <c r="E394" s="4" t="s">
        <v>10</v>
      </c>
      <c r="F394" s="4" t="s">
        <v>68</v>
      </c>
      <c r="G394" s="4">
        <v>19</v>
      </c>
      <c r="H394" s="4">
        <v>214</v>
      </c>
      <c r="I394" s="4">
        <v>4066</v>
      </c>
      <c r="J394" s="4">
        <f>Table1[[#This Row],[Total Sale]]*0.2</f>
        <v>813.2</v>
      </c>
      <c r="K394" s="4" t="s">
        <v>23</v>
      </c>
    </row>
    <row r="395" spans="3:11" x14ac:dyDescent="0.3">
      <c r="C395" s="3">
        <v>45742</v>
      </c>
      <c r="D395" s="3" t="s">
        <v>37</v>
      </c>
      <c r="E395" s="4" t="s">
        <v>6</v>
      </c>
      <c r="F395" s="4" t="s">
        <v>64</v>
      </c>
      <c r="G395" s="4">
        <v>21</v>
      </c>
      <c r="H395" s="4">
        <v>254</v>
      </c>
      <c r="I395" s="4">
        <v>5334</v>
      </c>
      <c r="J395" s="4">
        <f>Table1[[#This Row],[Total Sale]]*0.2</f>
        <v>1066.8</v>
      </c>
      <c r="K395" s="4" t="s">
        <v>23</v>
      </c>
    </row>
    <row r="396" spans="3:11" x14ac:dyDescent="0.3">
      <c r="C396" s="3">
        <v>45742</v>
      </c>
      <c r="D396" s="3" t="s">
        <v>31</v>
      </c>
      <c r="E396" s="4" t="s">
        <v>16</v>
      </c>
      <c r="F396" s="4" t="s">
        <v>59</v>
      </c>
      <c r="G396" s="4">
        <v>38</v>
      </c>
      <c r="H396" s="4">
        <v>219</v>
      </c>
      <c r="I396" s="4">
        <v>8322</v>
      </c>
      <c r="J396" s="4">
        <f>Table1[[#This Row],[Total Sale]]*0.2</f>
        <v>1664.4</v>
      </c>
      <c r="K396" s="4" t="s">
        <v>8</v>
      </c>
    </row>
    <row r="397" spans="3:11" x14ac:dyDescent="0.3">
      <c r="C397" s="3">
        <v>45742</v>
      </c>
      <c r="D397" s="3" t="s">
        <v>49</v>
      </c>
      <c r="E397" s="4" t="s">
        <v>29</v>
      </c>
      <c r="F397" s="4" t="s">
        <v>58</v>
      </c>
      <c r="G397" s="4">
        <v>44</v>
      </c>
      <c r="H397" s="4">
        <v>452</v>
      </c>
      <c r="I397" s="4">
        <v>19888</v>
      </c>
      <c r="J397" s="4">
        <f>Table1[[#This Row],[Total Sale]]*0.2</f>
        <v>3977.6000000000004</v>
      </c>
      <c r="K397" s="4" t="s">
        <v>17</v>
      </c>
    </row>
    <row r="398" spans="3:11" x14ac:dyDescent="0.3">
      <c r="C398" s="3">
        <v>45742</v>
      </c>
      <c r="D398" s="3" t="s">
        <v>36</v>
      </c>
      <c r="E398" s="4" t="s">
        <v>29</v>
      </c>
      <c r="F398" s="4" t="s">
        <v>67</v>
      </c>
      <c r="G398" s="4">
        <v>31</v>
      </c>
      <c r="H398" s="4">
        <v>377</v>
      </c>
      <c r="I398" s="4">
        <v>11687</v>
      </c>
      <c r="J398" s="4">
        <f>Table1[[#This Row],[Total Sale]]*0.2</f>
        <v>2337.4</v>
      </c>
      <c r="K398" s="4" t="s">
        <v>22</v>
      </c>
    </row>
    <row r="399" spans="3:11" x14ac:dyDescent="0.3">
      <c r="C399" s="3">
        <v>45740</v>
      </c>
      <c r="D399" s="3" t="s">
        <v>48</v>
      </c>
      <c r="E399" s="4" t="s">
        <v>26</v>
      </c>
      <c r="F399" s="4" t="s">
        <v>63</v>
      </c>
      <c r="G399" s="4">
        <v>24</v>
      </c>
      <c r="H399" s="4">
        <v>337</v>
      </c>
      <c r="I399" s="4">
        <v>8088</v>
      </c>
      <c r="J399" s="4">
        <f>Table1[[#This Row],[Total Sale]]*0.2</f>
        <v>1617.6000000000001</v>
      </c>
      <c r="K399" s="4" t="s">
        <v>7</v>
      </c>
    </row>
    <row r="400" spans="3:11" x14ac:dyDescent="0.3">
      <c r="C400" s="3">
        <v>45740</v>
      </c>
      <c r="D400" s="3" t="s">
        <v>34</v>
      </c>
      <c r="E400" s="4" t="s">
        <v>26</v>
      </c>
      <c r="F400" s="4" t="s">
        <v>65</v>
      </c>
      <c r="G400" s="4">
        <v>24</v>
      </c>
      <c r="H400" s="4">
        <v>266</v>
      </c>
      <c r="I400" s="4">
        <v>6384</v>
      </c>
      <c r="J400" s="4">
        <f>Table1[[#This Row],[Total Sale]]*0.2</f>
        <v>1276.8000000000002</v>
      </c>
      <c r="K400" s="4" t="s">
        <v>19</v>
      </c>
    </row>
    <row r="401" spans="3:11" x14ac:dyDescent="0.3">
      <c r="C401" s="3">
        <v>45740</v>
      </c>
      <c r="D401" s="3" t="s">
        <v>44</v>
      </c>
      <c r="E401" s="4" t="s">
        <v>18</v>
      </c>
      <c r="F401" s="4" t="s">
        <v>69</v>
      </c>
      <c r="G401" s="4">
        <v>43</v>
      </c>
      <c r="H401" s="4">
        <v>256</v>
      </c>
      <c r="I401" s="4">
        <v>11008</v>
      </c>
      <c r="J401" s="4">
        <f>Table1[[#This Row],[Total Sale]]*0.2</f>
        <v>2201.6</v>
      </c>
      <c r="K401" s="4" t="s">
        <v>21</v>
      </c>
    </row>
    <row r="402" spans="3:11" x14ac:dyDescent="0.3">
      <c r="C402" s="3">
        <v>45739</v>
      </c>
      <c r="D402" s="3" t="s">
        <v>43</v>
      </c>
      <c r="E402" s="4" t="s">
        <v>10</v>
      </c>
      <c r="F402" s="4" t="s">
        <v>53</v>
      </c>
      <c r="G402" s="4">
        <v>16</v>
      </c>
      <c r="H402" s="4">
        <v>446</v>
      </c>
      <c r="I402" s="4">
        <v>7136</v>
      </c>
      <c r="J402" s="4">
        <f>Table1[[#This Row],[Total Sale]]*0.2</f>
        <v>1427.2</v>
      </c>
      <c r="K402" s="4" t="s">
        <v>23</v>
      </c>
    </row>
    <row r="403" spans="3:11" x14ac:dyDescent="0.3">
      <c r="C403" s="3">
        <v>45738</v>
      </c>
      <c r="D403" s="3" t="s">
        <v>31</v>
      </c>
      <c r="E403" s="4" t="s">
        <v>13</v>
      </c>
      <c r="F403" s="4" t="s">
        <v>55</v>
      </c>
      <c r="G403" s="4">
        <v>33</v>
      </c>
      <c r="H403" s="4">
        <v>307</v>
      </c>
      <c r="I403" s="4">
        <v>10131</v>
      </c>
      <c r="J403" s="4">
        <f>Table1[[#This Row],[Total Sale]]*0.2</f>
        <v>2026.2</v>
      </c>
      <c r="K403" s="4" t="s">
        <v>22</v>
      </c>
    </row>
    <row r="404" spans="3:11" x14ac:dyDescent="0.3">
      <c r="C404" s="3">
        <v>45737</v>
      </c>
      <c r="D404" s="3" t="s">
        <v>38</v>
      </c>
      <c r="E404" s="4" t="s">
        <v>27</v>
      </c>
      <c r="F404" s="4" t="s">
        <v>54</v>
      </c>
      <c r="G404" s="4">
        <v>38</v>
      </c>
      <c r="H404" s="4">
        <v>362</v>
      </c>
      <c r="I404" s="4">
        <v>13756</v>
      </c>
      <c r="J404" s="4">
        <f>Table1[[#This Row],[Total Sale]]*0.2</f>
        <v>2751.2000000000003</v>
      </c>
      <c r="K404" s="4" t="s">
        <v>9</v>
      </c>
    </row>
    <row r="405" spans="3:11" x14ac:dyDescent="0.3">
      <c r="C405" s="3">
        <v>45737</v>
      </c>
      <c r="D405" s="3" t="s">
        <v>48</v>
      </c>
      <c r="E405" s="4" t="s">
        <v>10</v>
      </c>
      <c r="F405" s="4" t="s">
        <v>70</v>
      </c>
      <c r="G405" s="4">
        <v>23</v>
      </c>
      <c r="H405" s="4">
        <v>256</v>
      </c>
      <c r="I405" s="4">
        <v>5888</v>
      </c>
      <c r="J405" s="4">
        <f>Table1[[#This Row],[Total Sale]]*0.2</f>
        <v>1177.6000000000001</v>
      </c>
      <c r="K405" s="4" t="s">
        <v>7</v>
      </c>
    </row>
    <row r="406" spans="3:11" x14ac:dyDescent="0.3">
      <c r="C406" s="3">
        <v>45737</v>
      </c>
      <c r="D406" s="3" t="s">
        <v>47</v>
      </c>
      <c r="E406" s="4" t="s">
        <v>13</v>
      </c>
      <c r="F406" s="4" t="s">
        <v>64</v>
      </c>
      <c r="G406" s="4">
        <v>40</v>
      </c>
      <c r="H406" s="4">
        <v>322</v>
      </c>
      <c r="I406" s="4">
        <v>12880</v>
      </c>
      <c r="J406" s="4">
        <f>Table1[[#This Row],[Total Sale]]*0.2</f>
        <v>2576</v>
      </c>
      <c r="K406" s="4" t="s">
        <v>17</v>
      </c>
    </row>
    <row r="407" spans="3:11" x14ac:dyDescent="0.3">
      <c r="C407" s="3">
        <v>45737</v>
      </c>
      <c r="D407" s="3" t="s">
        <v>42</v>
      </c>
      <c r="E407" s="4" t="s">
        <v>6</v>
      </c>
      <c r="F407" s="4" t="s">
        <v>56</v>
      </c>
      <c r="G407" s="4">
        <v>38</v>
      </c>
      <c r="H407" s="4">
        <v>207</v>
      </c>
      <c r="I407" s="4">
        <v>7866</v>
      </c>
      <c r="J407" s="4">
        <f>Table1[[#This Row],[Total Sale]]*0.2</f>
        <v>1573.2</v>
      </c>
      <c r="K407" s="4" t="s">
        <v>20</v>
      </c>
    </row>
    <row r="408" spans="3:11" x14ac:dyDescent="0.3">
      <c r="C408" s="3">
        <v>45736</v>
      </c>
      <c r="D408" s="3" t="s">
        <v>32</v>
      </c>
      <c r="E408" s="4" t="s">
        <v>13</v>
      </c>
      <c r="F408" s="4" t="s">
        <v>54</v>
      </c>
      <c r="G408" s="4">
        <v>19</v>
      </c>
      <c r="H408" s="4">
        <v>445</v>
      </c>
      <c r="I408" s="4">
        <v>8455</v>
      </c>
      <c r="J408" s="4">
        <f>Table1[[#This Row],[Total Sale]]*0.2</f>
        <v>1691</v>
      </c>
      <c r="K408" s="4" t="s">
        <v>14</v>
      </c>
    </row>
    <row r="409" spans="3:11" x14ac:dyDescent="0.3">
      <c r="C409" s="3">
        <v>45736</v>
      </c>
      <c r="D409" s="3" t="s">
        <v>40</v>
      </c>
      <c r="E409" s="4" t="s">
        <v>6</v>
      </c>
      <c r="F409" s="4" t="s">
        <v>53</v>
      </c>
      <c r="G409" s="4">
        <v>41</v>
      </c>
      <c r="H409" s="4">
        <v>453</v>
      </c>
      <c r="I409" s="4">
        <v>18573</v>
      </c>
      <c r="J409" s="4">
        <f>Table1[[#This Row],[Total Sale]]*0.2</f>
        <v>3714.6000000000004</v>
      </c>
      <c r="K409" s="4" t="s">
        <v>12</v>
      </c>
    </row>
    <row r="410" spans="3:11" x14ac:dyDescent="0.3">
      <c r="C410" s="3">
        <v>45735</v>
      </c>
      <c r="D410" s="3" t="s">
        <v>38</v>
      </c>
      <c r="E410" s="4" t="s">
        <v>18</v>
      </c>
      <c r="F410" s="4" t="s">
        <v>70</v>
      </c>
      <c r="G410" s="4">
        <v>19</v>
      </c>
      <c r="H410" s="4">
        <v>245</v>
      </c>
      <c r="I410" s="4">
        <v>4655</v>
      </c>
      <c r="J410" s="4">
        <f>Table1[[#This Row],[Total Sale]]*0.2</f>
        <v>931</v>
      </c>
      <c r="K410" s="4" t="s">
        <v>19</v>
      </c>
    </row>
    <row r="411" spans="3:11" x14ac:dyDescent="0.3">
      <c r="C411" s="3">
        <v>45732</v>
      </c>
      <c r="D411" s="3" t="s">
        <v>35</v>
      </c>
      <c r="E411" s="4" t="s">
        <v>27</v>
      </c>
      <c r="F411" s="4" t="s">
        <v>63</v>
      </c>
      <c r="G411" s="4">
        <v>23</v>
      </c>
      <c r="H411" s="4">
        <v>471</v>
      </c>
      <c r="I411" s="4">
        <v>10833</v>
      </c>
      <c r="J411" s="4">
        <f>Table1[[#This Row],[Total Sale]]*0.2</f>
        <v>2166.6</v>
      </c>
      <c r="K411" s="4" t="s">
        <v>28</v>
      </c>
    </row>
    <row r="412" spans="3:11" x14ac:dyDescent="0.3">
      <c r="C412" s="3">
        <v>45732</v>
      </c>
      <c r="D412" s="3" t="s">
        <v>44</v>
      </c>
      <c r="E412" s="4" t="s">
        <v>10</v>
      </c>
      <c r="F412" s="4" t="s">
        <v>63</v>
      </c>
      <c r="G412" s="4">
        <v>15</v>
      </c>
      <c r="H412" s="4">
        <v>415</v>
      </c>
      <c r="I412" s="4">
        <v>6225</v>
      </c>
      <c r="J412" s="4">
        <f>Table1[[#This Row],[Total Sale]]*0.2</f>
        <v>1245</v>
      </c>
      <c r="K412" s="4" t="s">
        <v>21</v>
      </c>
    </row>
    <row r="413" spans="3:11" x14ac:dyDescent="0.3">
      <c r="C413" s="3">
        <v>45732</v>
      </c>
      <c r="D413" s="3" t="s">
        <v>46</v>
      </c>
      <c r="E413" s="4" t="s">
        <v>13</v>
      </c>
      <c r="F413" s="4" t="s">
        <v>66</v>
      </c>
      <c r="G413" s="4">
        <v>34</v>
      </c>
      <c r="H413" s="4">
        <v>413</v>
      </c>
      <c r="I413" s="4">
        <v>14042</v>
      </c>
      <c r="J413" s="4">
        <f>Table1[[#This Row],[Total Sale]]*0.2</f>
        <v>2808.4</v>
      </c>
      <c r="K413" s="4" t="s">
        <v>22</v>
      </c>
    </row>
    <row r="414" spans="3:11" x14ac:dyDescent="0.3">
      <c r="C414" s="3">
        <v>45730</v>
      </c>
      <c r="D414" s="3" t="s">
        <v>35</v>
      </c>
      <c r="E414" s="4" t="s">
        <v>18</v>
      </c>
      <c r="F414" s="4" t="s">
        <v>60</v>
      </c>
      <c r="G414" s="4">
        <v>14</v>
      </c>
      <c r="H414" s="4">
        <v>212</v>
      </c>
      <c r="I414" s="4">
        <v>2968</v>
      </c>
      <c r="J414" s="4">
        <f>Table1[[#This Row],[Total Sale]]*0.2</f>
        <v>593.6</v>
      </c>
      <c r="K414" s="4" t="s">
        <v>15</v>
      </c>
    </row>
    <row r="415" spans="3:11" x14ac:dyDescent="0.3">
      <c r="C415" s="3">
        <v>45729</v>
      </c>
      <c r="D415" s="3" t="s">
        <v>36</v>
      </c>
      <c r="E415" s="4" t="s">
        <v>29</v>
      </c>
      <c r="F415" s="4" t="s">
        <v>68</v>
      </c>
      <c r="G415" s="4">
        <v>49</v>
      </c>
      <c r="H415" s="4">
        <v>296</v>
      </c>
      <c r="I415" s="4">
        <v>14504</v>
      </c>
      <c r="J415" s="4">
        <f>Table1[[#This Row],[Total Sale]]*0.2</f>
        <v>2900.8</v>
      </c>
      <c r="K415" s="4" t="s">
        <v>17</v>
      </c>
    </row>
    <row r="416" spans="3:11" x14ac:dyDescent="0.3">
      <c r="C416" s="3">
        <v>45728</v>
      </c>
      <c r="D416" s="3" t="s">
        <v>36</v>
      </c>
      <c r="E416" s="4" t="s">
        <v>13</v>
      </c>
      <c r="F416" s="4" t="s">
        <v>54</v>
      </c>
      <c r="G416" s="4">
        <v>48</v>
      </c>
      <c r="H416" s="4">
        <v>261</v>
      </c>
      <c r="I416" s="4">
        <v>12528</v>
      </c>
      <c r="J416" s="4">
        <f>Table1[[#This Row],[Total Sale]]*0.2</f>
        <v>2505.6000000000004</v>
      </c>
      <c r="K416" s="4" t="s">
        <v>24</v>
      </c>
    </row>
    <row r="417" spans="3:11" x14ac:dyDescent="0.3">
      <c r="C417" s="3">
        <v>45728</v>
      </c>
      <c r="D417" s="3" t="s">
        <v>39</v>
      </c>
      <c r="E417" s="4" t="s">
        <v>18</v>
      </c>
      <c r="F417" s="4" t="s">
        <v>62</v>
      </c>
      <c r="G417" s="4">
        <v>43</v>
      </c>
      <c r="H417" s="4">
        <v>367</v>
      </c>
      <c r="I417" s="4">
        <v>15781</v>
      </c>
      <c r="J417" s="4">
        <f>Table1[[#This Row],[Total Sale]]*0.2</f>
        <v>3156.2000000000003</v>
      </c>
      <c r="K417" s="4" t="s">
        <v>14</v>
      </c>
    </row>
    <row r="418" spans="3:11" x14ac:dyDescent="0.3">
      <c r="C418" s="3">
        <v>45727</v>
      </c>
      <c r="D418" s="3" t="s">
        <v>40</v>
      </c>
      <c r="E418" s="4" t="s">
        <v>25</v>
      </c>
      <c r="F418" s="4" t="s">
        <v>67</v>
      </c>
      <c r="G418" s="4">
        <v>14</v>
      </c>
      <c r="H418" s="4">
        <v>336</v>
      </c>
      <c r="I418" s="4">
        <v>4704</v>
      </c>
      <c r="J418" s="4">
        <f>Table1[[#This Row],[Total Sale]]*0.2</f>
        <v>940.80000000000007</v>
      </c>
      <c r="K418" s="4" t="s">
        <v>20</v>
      </c>
    </row>
    <row r="419" spans="3:11" x14ac:dyDescent="0.3">
      <c r="C419" s="3">
        <v>45726</v>
      </c>
      <c r="D419" s="3" t="s">
        <v>46</v>
      </c>
      <c r="E419" s="4" t="s">
        <v>10</v>
      </c>
      <c r="F419" s="4" t="s">
        <v>59</v>
      </c>
      <c r="G419" s="4">
        <v>44</v>
      </c>
      <c r="H419" s="4">
        <v>376</v>
      </c>
      <c r="I419" s="4">
        <v>16544</v>
      </c>
      <c r="J419" s="4">
        <f>Table1[[#This Row],[Total Sale]]*0.2</f>
        <v>3308.8</v>
      </c>
      <c r="K419" s="4" t="s">
        <v>12</v>
      </c>
    </row>
    <row r="420" spans="3:11" x14ac:dyDescent="0.3">
      <c r="C420" s="3">
        <v>45725</v>
      </c>
      <c r="D420" s="3" t="s">
        <v>50</v>
      </c>
      <c r="E420" s="4" t="s">
        <v>25</v>
      </c>
      <c r="F420" s="4" t="s">
        <v>64</v>
      </c>
      <c r="G420" s="4">
        <v>37</v>
      </c>
      <c r="H420" s="4">
        <v>417</v>
      </c>
      <c r="I420" s="4">
        <v>15429</v>
      </c>
      <c r="J420" s="4">
        <f>Table1[[#This Row],[Total Sale]]*0.2</f>
        <v>3085.8</v>
      </c>
      <c r="K420" s="4" t="s">
        <v>20</v>
      </c>
    </row>
    <row r="421" spans="3:11" x14ac:dyDescent="0.3">
      <c r="C421" s="3">
        <v>45725</v>
      </c>
      <c r="D421" s="3" t="s">
        <v>40</v>
      </c>
      <c r="E421" s="4" t="s">
        <v>11</v>
      </c>
      <c r="F421" s="4" t="s">
        <v>55</v>
      </c>
      <c r="G421" s="4">
        <v>10</v>
      </c>
      <c r="H421" s="4">
        <v>448</v>
      </c>
      <c r="I421" s="4">
        <v>4480</v>
      </c>
      <c r="J421" s="4">
        <f>Table1[[#This Row],[Total Sale]]*0.2</f>
        <v>896</v>
      </c>
      <c r="K421" s="4" t="s">
        <v>23</v>
      </c>
    </row>
    <row r="422" spans="3:11" x14ac:dyDescent="0.3">
      <c r="C422" s="3">
        <v>45725</v>
      </c>
      <c r="D422" s="3" t="s">
        <v>42</v>
      </c>
      <c r="E422" s="4" t="s">
        <v>6</v>
      </c>
      <c r="F422" s="4" t="s">
        <v>58</v>
      </c>
      <c r="G422" s="4">
        <v>10</v>
      </c>
      <c r="H422" s="4">
        <v>437</v>
      </c>
      <c r="I422" s="4">
        <v>4370</v>
      </c>
      <c r="J422" s="4">
        <f>Table1[[#This Row],[Total Sale]]*0.2</f>
        <v>874</v>
      </c>
      <c r="K422" s="4" t="s">
        <v>23</v>
      </c>
    </row>
    <row r="423" spans="3:11" x14ac:dyDescent="0.3">
      <c r="C423" s="3">
        <v>45725</v>
      </c>
      <c r="D423" s="3" t="s">
        <v>42</v>
      </c>
      <c r="E423" s="4" t="s">
        <v>6</v>
      </c>
      <c r="F423" s="4" t="s">
        <v>59</v>
      </c>
      <c r="G423" s="4">
        <v>50</v>
      </c>
      <c r="H423" s="4">
        <v>365</v>
      </c>
      <c r="I423" s="4">
        <v>18250</v>
      </c>
      <c r="J423" s="4">
        <f>Table1[[#This Row],[Total Sale]]*0.2</f>
        <v>3650</v>
      </c>
      <c r="K423" s="4" t="s">
        <v>19</v>
      </c>
    </row>
    <row r="424" spans="3:11" x14ac:dyDescent="0.3">
      <c r="C424" s="3">
        <v>45725</v>
      </c>
      <c r="D424" s="3" t="s">
        <v>33</v>
      </c>
      <c r="E424" s="4" t="s">
        <v>6</v>
      </c>
      <c r="F424" s="4" t="s">
        <v>55</v>
      </c>
      <c r="G424" s="4">
        <v>26</v>
      </c>
      <c r="H424" s="4">
        <v>300</v>
      </c>
      <c r="I424" s="4">
        <v>7800</v>
      </c>
      <c r="J424" s="4">
        <f>Table1[[#This Row],[Total Sale]]*0.2</f>
        <v>1560</v>
      </c>
      <c r="K424" s="4" t="s">
        <v>28</v>
      </c>
    </row>
    <row r="425" spans="3:11" x14ac:dyDescent="0.3">
      <c r="C425" s="3">
        <v>45724</v>
      </c>
      <c r="D425" s="3" t="s">
        <v>47</v>
      </c>
      <c r="E425" s="4" t="s">
        <v>25</v>
      </c>
      <c r="F425" s="4" t="s">
        <v>68</v>
      </c>
      <c r="G425" s="4">
        <v>46</v>
      </c>
      <c r="H425" s="4">
        <v>244</v>
      </c>
      <c r="I425" s="4">
        <v>11224</v>
      </c>
      <c r="J425" s="4">
        <f>Table1[[#This Row],[Total Sale]]*0.2</f>
        <v>2244.8000000000002</v>
      </c>
      <c r="K425" s="4" t="s">
        <v>12</v>
      </c>
    </row>
    <row r="426" spans="3:11" x14ac:dyDescent="0.3">
      <c r="C426" s="3">
        <v>45723</v>
      </c>
      <c r="D426" s="3" t="s">
        <v>40</v>
      </c>
      <c r="E426" s="4" t="s">
        <v>25</v>
      </c>
      <c r="F426" s="4" t="s">
        <v>62</v>
      </c>
      <c r="G426" s="4">
        <v>47</v>
      </c>
      <c r="H426" s="4">
        <v>331</v>
      </c>
      <c r="I426" s="4">
        <v>15557</v>
      </c>
      <c r="J426" s="4">
        <f>Table1[[#This Row],[Total Sale]]*0.2</f>
        <v>3111.4</v>
      </c>
      <c r="K426" s="4" t="s">
        <v>21</v>
      </c>
    </row>
    <row r="427" spans="3:11" x14ac:dyDescent="0.3">
      <c r="C427" s="3">
        <v>45723</v>
      </c>
      <c r="D427" s="3" t="s">
        <v>40</v>
      </c>
      <c r="E427" s="4" t="s">
        <v>25</v>
      </c>
      <c r="F427" s="4" t="s">
        <v>55</v>
      </c>
      <c r="G427" s="4">
        <v>16</v>
      </c>
      <c r="H427" s="4">
        <v>307</v>
      </c>
      <c r="I427" s="4">
        <v>4912</v>
      </c>
      <c r="J427" s="4">
        <f>Table1[[#This Row],[Total Sale]]*0.2</f>
        <v>982.40000000000009</v>
      </c>
      <c r="K427" s="4" t="s">
        <v>22</v>
      </c>
    </row>
    <row r="428" spans="3:11" x14ac:dyDescent="0.3">
      <c r="C428" s="3">
        <v>45722</v>
      </c>
      <c r="D428" s="3" t="s">
        <v>33</v>
      </c>
      <c r="E428" s="4" t="s">
        <v>27</v>
      </c>
      <c r="F428" s="4" t="s">
        <v>59</v>
      </c>
      <c r="G428" s="4">
        <v>13</v>
      </c>
      <c r="H428" s="4">
        <v>412</v>
      </c>
      <c r="I428" s="4">
        <v>5356</v>
      </c>
      <c r="J428" s="4">
        <f>Table1[[#This Row],[Total Sale]]*0.2</f>
        <v>1071.2</v>
      </c>
      <c r="K428" s="4" t="s">
        <v>21</v>
      </c>
    </row>
    <row r="429" spans="3:11" x14ac:dyDescent="0.3">
      <c r="C429" s="3">
        <v>45722</v>
      </c>
      <c r="D429" s="3" t="s">
        <v>36</v>
      </c>
      <c r="E429" s="4" t="s">
        <v>18</v>
      </c>
      <c r="F429" s="4" t="s">
        <v>62</v>
      </c>
      <c r="G429" s="4">
        <v>42</v>
      </c>
      <c r="H429" s="4">
        <v>430</v>
      </c>
      <c r="I429" s="4">
        <v>18060</v>
      </c>
      <c r="J429" s="4">
        <f>Table1[[#This Row],[Total Sale]]*0.2</f>
        <v>3612</v>
      </c>
      <c r="K429" s="4" t="s">
        <v>23</v>
      </c>
    </row>
    <row r="430" spans="3:11" x14ac:dyDescent="0.3">
      <c r="C430" s="3">
        <v>45722</v>
      </c>
      <c r="D430" s="3" t="s">
        <v>44</v>
      </c>
      <c r="E430" s="4" t="s">
        <v>29</v>
      </c>
      <c r="F430" s="4" t="s">
        <v>53</v>
      </c>
      <c r="G430" s="4">
        <v>12</v>
      </c>
      <c r="H430" s="4">
        <v>377</v>
      </c>
      <c r="I430" s="4">
        <v>4524</v>
      </c>
      <c r="J430" s="4">
        <f>Table1[[#This Row],[Total Sale]]*0.2</f>
        <v>904.80000000000007</v>
      </c>
      <c r="K430" s="4" t="s">
        <v>17</v>
      </c>
    </row>
    <row r="431" spans="3:11" x14ac:dyDescent="0.3">
      <c r="C431" s="3">
        <v>45720</v>
      </c>
      <c r="D431" s="3" t="s">
        <v>36</v>
      </c>
      <c r="E431" s="4" t="s">
        <v>26</v>
      </c>
      <c r="F431" s="4" t="s">
        <v>68</v>
      </c>
      <c r="G431" s="4">
        <v>46</v>
      </c>
      <c r="H431" s="4">
        <v>392</v>
      </c>
      <c r="I431" s="4">
        <v>18032</v>
      </c>
      <c r="J431" s="4">
        <f>Table1[[#This Row],[Total Sale]]*0.2</f>
        <v>3606.4</v>
      </c>
      <c r="K431" s="4" t="s">
        <v>23</v>
      </c>
    </row>
    <row r="432" spans="3:11" x14ac:dyDescent="0.3">
      <c r="C432" s="3">
        <v>45719</v>
      </c>
      <c r="D432" s="3" t="s">
        <v>40</v>
      </c>
      <c r="E432" s="4" t="s">
        <v>25</v>
      </c>
      <c r="F432" s="4" t="s">
        <v>59</v>
      </c>
      <c r="G432" s="4">
        <v>16</v>
      </c>
      <c r="H432" s="4">
        <v>496</v>
      </c>
      <c r="I432" s="4">
        <v>7936</v>
      </c>
      <c r="J432" s="4">
        <f>Table1[[#This Row],[Total Sale]]*0.2</f>
        <v>1587.2</v>
      </c>
      <c r="K432" s="4" t="s">
        <v>28</v>
      </c>
    </row>
    <row r="433" spans="3:11" x14ac:dyDescent="0.3">
      <c r="C433" s="3">
        <v>45719</v>
      </c>
      <c r="D433" s="3" t="s">
        <v>36</v>
      </c>
      <c r="E433" s="4" t="s">
        <v>11</v>
      </c>
      <c r="F433" s="4" t="s">
        <v>66</v>
      </c>
      <c r="G433" s="4">
        <v>36</v>
      </c>
      <c r="H433" s="4">
        <v>454</v>
      </c>
      <c r="I433" s="4">
        <v>16344</v>
      </c>
      <c r="J433" s="4">
        <f>Table1[[#This Row],[Total Sale]]*0.2</f>
        <v>3268.8</v>
      </c>
      <c r="K433" s="4" t="s">
        <v>20</v>
      </c>
    </row>
    <row r="434" spans="3:11" x14ac:dyDescent="0.3">
      <c r="C434" s="3">
        <v>45719</v>
      </c>
      <c r="D434" s="3" t="s">
        <v>32</v>
      </c>
      <c r="E434" s="4" t="s">
        <v>11</v>
      </c>
      <c r="F434" s="4" t="s">
        <v>67</v>
      </c>
      <c r="G434" s="4">
        <v>42</v>
      </c>
      <c r="H434" s="4">
        <v>223</v>
      </c>
      <c r="I434" s="4">
        <v>9366</v>
      </c>
      <c r="J434" s="4">
        <f>Table1[[#This Row],[Total Sale]]*0.2</f>
        <v>1873.2</v>
      </c>
      <c r="K434" s="4" t="s">
        <v>24</v>
      </c>
    </row>
    <row r="435" spans="3:11" x14ac:dyDescent="0.3">
      <c r="C435" s="3">
        <v>45718</v>
      </c>
      <c r="D435" s="3" t="s">
        <v>35</v>
      </c>
      <c r="E435" s="4" t="s">
        <v>25</v>
      </c>
      <c r="F435" s="4" t="s">
        <v>68</v>
      </c>
      <c r="G435" s="4">
        <v>12</v>
      </c>
      <c r="H435" s="4">
        <v>291</v>
      </c>
      <c r="I435" s="4">
        <v>3492</v>
      </c>
      <c r="J435" s="4">
        <f>Table1[[#This Row],[Total Sale]]*0.2</f>
        <v>698.40000000000009</v>
      </c>
      <c r="K435" s="4" t="s">
        <v>14</v>
      </c>
    </row>
    <row r="436" spans="3:11" x14ac:dyDescent="0.3">
      <c r="C436" s="3">
        <v>45717</v>
      </c>
      <c r="D436" s="3" t="s">
        <v>44</v>
      </c>
      <c r="E436" s="4" t="s">
        <v>26</v>
      </c>
      <c r="F436" s="4" t="s">
        <v>65</v>
      </c>
      <c r="G436" s="4">
        <v>39</v>
      </c>
      <c r="H436" s="4">
        <v>333</v>
      </c>
      <c r="I436" s="4">
        <v>12987</v>
      </c>
      <c r="J436" s="4">
        <f>Table1[[#This Row],[Total Sale]]*0.2</f>
        <v>2597.4</v>
      </c>
      <c r="K436" s="4" t="s">
        <v>8</v>
      </c>
    </row>
    <row r="437" spans="3:11" x14ac:dyDescent="0.3">
      <c r="C437" s="3">
        <v>45717</v>
      </c>
      <c r="D437" s="3" t="s">
        <v>39</v>
      </c>
      <c r="E437" s="4" t="s">
        <v>18</v>
      </c>
      <c r="F437" s="4" t="s">
        <v>65</v>
      </c>
      <c r="G437" s="4">
        <v>20</v>
      </c>
      <c r="H437" s="4">
        <v>458</v>
      </c>
      <c r="I437" s="4">
        <v>9160</v>
      </c>
      <c r="J437" s="4">
        <f>Table1[[#This Row],[Total Sale]]*0.2</f>
        <v>1832</v>
      </c>
      <c r="K437" s="4" t="s">
        <v>19</v>
      </c>
    </row>
    <row r="438" spans="3:11" x14ac:dyDescent="0.3">
      <c r="C438" s="3">
        <v>45716</v>
      </c>
      <c r="D438" s="3" t="s">
        <v>47</v>
      </c>
      <c r="E438" s="4" t="s">
        <v>18</v>
      </c>
      <c r="F438" s="4" t="s">
        <v>68</v>
      </c>
      <c r="G438" s="4">
        <v>38</v>
      </c>
      <c r="H438" s="4">
        <v>324</v>
      </c>
      <c r="I438" s="4">
        <v>12312</v>
      </c>
      <c r="J438" s="4">
        <f>Table1[[#This Row],[Total Sale]]*0.2</f>
        <v>2462.4</v>
      </c>
      <c r="K438" s="4" t="s">
        <v>28</v>
      </c>
    </row>
    <row r="439" spans="3:11" x14ac:dyDescent="0.3">
      <c r="C439" s="3">
        <v>45715</v>
      </c>
      <c r="D439" s="3" t="s">
        <v>45</v>
      </c>
      <c r="E439" s="4" t="s">
        <v>18</v>
      </c>
      <c r="F439" s="4" t="s">
        <v>59</v>
      </c>
      <c r="G439" s="4">
        <v>37</v>
      </c>
      <c r="H439" s="4">
        <v>279</v>
      </c>
      <c r="I439" s="4">
        <v>10323</v>
      </c>
      <c r="J439" s="4">
        <f>Table1[[#This Row],[Total Sale]]*0.2</f>
        <v>2064.6</v>
      </c>
      <c r="K439" s="4" t="s">
        <v>12</v>
      </c>
    </row>
    <row r="440" spans="3:11" x14ac:dyDescent="0.3">
      <c r="C440" s="3">
        <v>45711</v>
      </c>
      <c r="D440" s="3" t="s">
        <v>38</v>
      </c>
      <c r="E440" s="4" t="s">
        <v>11</v>
      </c>
      <c r="F440" s="4" t="s">
        <v>56</v>
      </c>
      <c r="G440" s="4">
        <v>16</v>
      </c>
      <c r="H440" s="4">
        <v>451</v>
      </c>
      <c r="I440" s="4">
        <v>7216</v>
      </c>
      <c r="J440" s="4">
        <f>Table1[[#This Row],[Total Sale]]*0.2</f>
        <v>1443.2</v>
      </c>
      <c r="K440" s="4" t="s">
        <v>15</v>
      </c>
    </row>
    <row r="441" spans="3:11" x14ac:dyDescent="0.3">
      <c r="C441" s="3">
        <v>45710</v>
      </c>
      <c r="D441" s="3" t="s">
        <v>44</v>
      </c>
      <c r="E441" s="4" t="s">
        <v>18</v>
      </c>
      <c r="F441" s="4" t="s">
        <v>62</v>
      </c>
      <c r="G441" s="4">
        <v>45</v>
      </c>
      <c r="H441" s="4">
        <v>457</v>
      </c>
      <c r="I441" s="4">
        <v>20565</v>
      </c>
      <c r="J441" s="4">
        <f>Table1[[#This Row],[Total Sale]]*0.2</f>
        <v>4113</v>
      </c>
      <c r="K441" s="4" t="s">
        <v>14</v>
      </c>
    </row>
    <row r="442" spans="3:11" x14ac:dyDescent="0.3">
      <c r="C442" s="3">
        <v>45710</v>
      </c>
      <c r="D442" s="3" t="s">
        <v>49</v>
      </c>
      <c r="E442" s="4" t="s">
        <v>16</v>
      </c>
      <c r="F442" s="4" t="s">
        <v>54</v>
      </c>
      <c r="G442" s="4">
        <v>17</v>
      </c>
      <c r="H442" s="4">
        <v>202</v>
      </c>
      <c r="I442" s="4">
        <v>3434</v>
      </c>
      <c r="J442" s="4">
        <f>Table1[[#This Row],[Total Sale]]*0.2</f>
        <v>686.80000000000007</v>
      </c>
      <c r="K442" s="4" t="s">
        <v>21</v>
      </c>
    </row>
    <row r="443" spans="3:11" x14ac:dyDescent="0.3">
      <c r="C443" s="3">
        <v>45707</v>
      </c>
      <c r="D443" s="3" t="s">
        <v>50</v>
      </c>
      <c r="E443" s="4" t="s">
        <v>26</v>
      </c>
      <c r="F443" s="4" t="s">
        <v>60</v>
      </c>
      <c r="G443" s="4">
        <v>38</v>
      </c>
      <c r="H443" s="4">
        <v>435</v>
      </c>
      <c r="I443" s="4">
        <v>16530</v>
      </c>
      <c r="J443" s="4">
        <f>Table1[[#This Row],[Total Sale]]*0.2</f>
        <v>3306</v>
      </c>
      <c r="K443" s="4" t="s">
        <v>23</v>
      </c>
    </row>
    <row r="444" spans="3:11" x14ac:dyDescent="0.3">
      <c r="C444" s="3">
        <v>45706</v>
      </c>
      <c r="D444" s="3" t="s">
        <v>37</v>
      </c>
      <c r="E444" s="4" t="s">
        <v>18</v>
      </c>
      <c r="F444" s="4" t="s">
        <v>56</v>
      </c>
      <c r="G444" s="4">
        <v>16</v>
      </c>
      <c r="H444" s="4">
        <v>215</v>
      </c>
      <c r="I444" s="4">
        <v>3440</v>
      </c>
      <c r="J444" s="4">
        <f>Table1[[#This Row],[Total Sale]]*0.2</f>
        <v>688</v>
      </c>
      <c r="K444" s="4" t="s">
        <v>14</v>
      </c>
    </row>
    <row r="445" spans="3:11" x14ac:dyDescent="0.3">
      <c r="C445" s="3">
        <v>45705</v>
      </c>
      <c r="D445" s="3" t="s">
        <v>34</v>
      </c>
      <c r="E445" s="4" t="s">
        <v>13</v>
      </c>
      <c r="F445" s="4" t="s">
        <v>66</v>
      </c>
      <c r="G445" s="4">
        <v>19</v>
      </c>
      <c r="H445" s="4">
        <v>397</v>
      </c>
      <c r="I445" s="4">
        <v>7543</v>
      </c>
      <c r="J445" s="4">
        <f>Table1[[#This Row],[Total Sale]]*0.2</f>
        <v>1508.6000000000001</v>
      </c>
      <c r="K445" s="4" t="s">
        <v>15</v>
      </c>
    </row>
    <row r="446" spans="3:11" x14ac:dyDescent="0.3">
      <c r="C446" s="3">
        <v>45704</v>
      </c>
      <c r="D446" s="3" t="s">
        <v>48</v>
      </c>
      <c r="E446" s="4" t="s">
        <v>25</v>
      </c>
      <c r="F446" s="4" t="s">
        <v>61</v>
      </c>
      <c r="G446" s="4">
        <v>43</v>
      </c>
      <c r="H446" s="4">
        <v>311</v>
      </c>
      <c r="I446" s="4">
        <v>13373</v>
      </c>
      <c r="J446" s="4">
        <f>Table1[[#This Row],[Total Sale]]*0.2</f>
        <v>2674.6000000000004</v>
      </c>
      <c r="K446" s="4" t="s">
        <v>8</v>
      </c>
    </row>
    <row r="447" spans="3:11" x14ac:dyDescent="0.3">
      <c r="C447" s="3">
        <v>45704</v>
      </c>
      <c r="D447" s="3" t="s">
        <v>50</v>
      </c>
      <c r="E447" s="4" t="s">
        <v>11</v>
      </c>
      <c r="F447" s="4" t="s">
        <v>65</v>
      </c>
      <c r="G447" s="4">
        <v>25</v>
      </c>
      <c r="H447" s="4">
        <v>426</v>
      </c>
      <c r="I447" s="4">
        <v>10650</v>
      </c>
      <c r="J447" s="4">
        <f>Table1[[#This Row],[Total Sale]]*0.2</f>
        <v>2130</v>
      </c>
      <c r="K447" s="4" t="s">
        <v>19</v>
      </c>
    </row>
    <row r="448" spans="3:11" x14ac:dyDescent="0.3">
      <c r="C448" s="3">
        <v>45704</v>
      </c>
      <c r="D448" s="3" t="s">
        <v>40</v>
      </c>
      <c r="E448" s="4" t="s">
        <v>13</v>
      </c>
      <c r="F448" s="4" t="s">
        <v>63</v>
      </c>
      <c r="G448" s="4">
        <v>33</v>
      </c>
      <c r="H448" s="4">
        <v>320</v>
      </c>
      <c r="I448" s="4">
        <v>10560</v>
      </c>
      <c r="J448" s="4">
        <f>Table1[[#This Row],[Total Sale]]*0.2</f>
        <v>2112</v>
      </c>
      <c r="K448" s="4" t="s">
        <v>19</v>
      </c>
    </row>
    <row r="449" spans="3:11" x14ac:dyDescent="0.3">
      <c r="C449" s="3">
        <v>45704</v>
      </c>
      <c r="D449" s="3" t="s">
        <v>45</v>
      </c>
      <c r="E449" s="4" t="s">
        <v>13</v>
      </c>
      <c r="F449" s="4" t="s">
        <v>56</v>
      </c>
      <c r="G449" s="4">
        <v>18</v>
      </c>
      <c r="H449" s="4">
        <v>290</v>
      </c>
      <c r="I449" s="4">
        <v>5220</v>
      </c>
      <c r="J449" s="4">
        <f>Table1[[#This Row],[Total Sale]]*0.2</f>
        <v>1044</v>
      </c>
      <c r="K449" s="4" t="s">
        <v>19</v>
      </c>
    </row>
    <row r="450" spans="3:11" x14ac:dyDescent="0.3">
      <c r="C450" s="3">
        <v>45703</v>
      </c>
      <c r="D450" s="3" t="s">
        <v>50</v>
      </c>
      <c r="E450" s="4" t="s">
        <v>11</v>
      </c>
      <c r="F450" s="4" t="s">
        <v>67</v>
      </c>
      <c r="G450" s="4">
        <v>40</v>
      </c>
      <c r="H450" s="4">
        <v>217</v>
      </c>
      <c r="I450" s="4">
        <v>8680</v>
      </c>
      <c r="J450" s="4">
        <f>Table1[[#This Row],[Total Sale]]*0.2</f>
        <v>1736</v>
      </c>
      <c r="K450" s="4" t="s">
        <v>28</v>
      </c>
    </row>
    <row r="451" spans="3:11" x14ac:dyDescent="0.3">
      <c r="C451" s="3">
        <v>45703</v>
      </c>
      <c r="D451" s="3" t="s">
        <v>42</v>
      </c>
      <c r="E451" s="4" t="s">
        <v>13</v>
      </c>
      <c r="F451" s="4" t="s">
        <v>57</v>
      </c>
      <c r="G451" s="4">
        <v>17</v>
      </c>
      <c r="H451" s="4">
        <v>415</v>
      </c>
      <c r="I451" s="4">
        <v>7055</v>
      </c>
      <c r="J451" s="4">
        <f>Table1[[#This Row],[Total Sale]]*0.2</f>
        <v>1411</v>
      </c>
      <c r="K451" s="4" t="s">
        <v>19</v>
      </c>
    </row>
    <row r="452" spans="3:11" x14ac:dyDescent="0.3">
      <c r="C452" s="3">
        <v>45703</v>
      </c>
      <c r="D452" s="3" t="s">
        <v>35</v>
      </c>
      <c r="E452" s="4" t="s">
        <v>18</v>
      </c>
      <c r="F452" s="4" t="s">
        <v>66</v>
      </c>
      <c r="G452" s="4">
        <v>10</v>
      </c>
      <c r="H452" s="4">
        <v>409</v>
      </c>
      <c r="I452" s="4">
        <v>4090</v>
      </c>
      <c r="J452" s="4">
        <f>Table1[[#This Row],[Total Sale]]*0.2</f>
        <v>818</v>
      </c>
      <c r="K452" s="4" t="s">
        <v>22</v>
      </c>
    </row>
    <row r="453" spans="3:11" x14ac:dyDescent="0.3">
      <c r="C453" s="3">
        <v>45700</v>
      </c>
      <c r="D453" s="3" t="s">
        <v>44</v>
      </c>
      <c r="E453" s="4" t="s">
        <v>10</v>
      </c>
      <c r="F453" s="4" t="s">
        <v>68</v>
      </c>
      <c r="G453" s="4">
        <v>20</v>
      </c>
      <c r="H453" s="4">
        <v>474</v>
      </c>
      <c r="I453" s="4">
        <v>9480</v>
      </c>
      <c r="J453" s="4">
        <f>Table1[[#This Row],[Total Sale]]*0.2</f>
        <v>1896</v>
      </c>
      <c r="K453" s="4" t="s">
        <v>9</v>
      </c>
    </row>
    <row r="454" spans="3:11" x14ac:dyDescent="0.3">
      <c r="C454" s="3">
        <v>45699</v>
      </c>
      <c r="D454" s="3" t="s">
        <v>35</v>
      </c>
      <c r="E454" s="4" t="s">
        <v>25</v>
      </c>
      <c r="F454" s="4" t="s">
        <v>62</v>
      </c>
      <c r="G454" s="4">
        <v>14</v>
      </c>
      <c r="H454" s="4">
        <v>470</v>
      </c>
      <c r="I454" s="4">
        <v>6580</v>
      </c>
      <c r="J454" s="4">
        <f>Table1[[#This Row],[Total Sale]]*0.2</f>
        <v>1316</v>
      </c>
      <c r="K454" s="4" t="s">
        <v>15</v>
      </c>
    </row>
    <row r="455" spans="3:11" x14ac:dyDescent="0.3">
      <c r="C455" s="3">
        <v>45699</v>
      </c>
      <c r="D455" s="3" t="s">
        <v>42</v>
      </c>
      <c r="E455" s="4" t="s">
        <v>26</v>
      </c>
      <c r="F455" s="4" t="s">
        <v>62</v>
      </c>
      <c r="G455" s="4">
        <v>18</v>
      </c>
      <c r="H455" s="4">
        <v>307</v>
      </c>
      <c r="I455" s="4">
        <v>5526</v>
      </c>
      <c r="J455" s="4">
        <f>Table1[[#This Row],[Total Sale]]*0.2</f>
        <v>1105.2</v>
      </c>
      <c r="K455" s="4" t="s">
        <v>15</v>
      </c>
    </row>
    <row r="456" spans="3:11" x14ac:dyDescent="0.3">
      <c r="C456" s="3">
        <v>45699</v>
      </c>
      <c r="D456" s="3" t="s">
        <v>48</v>
      </c>
      <c r="E456" s="4" t="s">
        <v>11</v>
      </c>
      <c r="F456" s="4" t="s">
        <v>59</v>
      </c>
      <c r="G456" s="4">
        <v>35</v>
      </c>
      <c r="H456" s="4">
        <v>345</v>
      </c>
      <c r="I456" s="4">
        <v>12075</v>
      </c>
      <c r="J456" s="4">
        <f>Table1[[#This Row],[Total Sale]]*0.2</f>
        <v>2415</v>
      </c>
      <c r="K456" s="4" t="s">
        <v>20</v>
      </c>
    </row>
    <row r="457" spans="3:11" x14ac:dyDescent="0.3">
      <c r="C457" s="3">
        <v>45699</v>
      </c>
      <c r="D457" s="3" t="s">
        <v>47</v>
      </c>
      <c r="E457" s="4" t="s">
        <v>13</v>
      </c>
      <c r="F457" s="4" t="s">
        <v>60</v>
      </c>
      <c r="G457" s="4">
        <v>40</v>
      </c>
      <c r="H457" s="4">
        <v>234</v>
      </c>
      <c r="I457" s="4">
        <v>9360</v>
      </c>
      <c r="J457" s="4">
        <f>Table1[[#This Row],[Total Sale]]*0.2</f>
        <v>1872</v>
      </c>
      <c r="K457" s="4" t="s">
        <v>23</v>
      </c>
    </row>
    <row r="458" spans="3:11" x14ac:dyDescent="0.3">
      <c r="C458" s="3">
        <v>45698</v>
      </c>
      <c r="D458" s="3" t="s">
        <v>32</v>
      </c>
      <c r="E458" s="4" t="s">
        <v>27</v>
      </c>
      <c r="F458" s="4" t="s">
        <v>52</v>
      </c>
      <c r="G458" s="4">
        <v>47</v>
      </c>
      <c r="H458" s="4">
        <v>353</v>
      </c>
      <c r="I458" s="4">
        <v>16591</v>
      </c>
      <c r="J458" s="4">
        <f>Table1[[#This Row],[Total Sale]]*0.2</f>
        <v>3318.2000000000003</v>
      </c>
      <c r="K458" s="4" t="s">
        <v>12</v>
      </c>
    </row>
    <row r="459" spans="3:11" x14ac:dyDescent="0.3">
      <c r="C459" s="3">
        <v>45698</v>
      </c>
      <c r="D459" s="3" t="s">
        <v>31</v>
      </c>
      <c r="E459" s="4" t="s">
        <v>25</v>
      </c>
      <c r="F459" s="4" t="s">
        <v>63</v>
      </c>
      <c r="G459" s="4">
        <v>19</v>
      </c>
      <c r="H459" s="4">
        <v>495</v>
      </c>
      <c r="I459" s="4">
        <v>9405</v>
      </c>
      <c r="J459" s="4">
        <f>Table1[[#This Row],[Total Sale]]*0.2</f>
        <v>1881</v>
      </c>
      <c r="K459" s="4" t="s">
        <v>19</v>
      </c>
    </row>
    <row r="460" spans="3:11" x14ac:dyDescent="0.3">
      <c r="C460" s="3">
        <v>45698</v>
      </c>
      <c r="D460" s="3" t="s">
        <v>31</v>
      </c>
      <c r="E460" s="4" t="s">
        <v>10</v>
      </c>
      <c r="F460" s="4" t="s">
        <v>57</v>
      </c>
      <c r="G460" s="4">
        <v>22</v>
      </c>
      <c r="H460" s="4">
        <v>431</v>
      </c>
      <c r="I460" s="4">
        <v>9482</v>
      </c>
      <c r="J460" s="4">
        <f>Table1[[#This Row],[Total Sale]]*0.2</f>
        <v>1896.4</v>
      </c>
      <c r="K460" s="4" t="s">
        <v>12</v>
      </c>
    </row>
    <row r="461" spans="3:11" x14ac:dyDescent="0.3">
      <c r="C461" s="3">
        <v>45697</v>
      </c>
      <c r="D461" s="3" t="s">
        <v>46</v>
      </c>
      <c r="E461" s="4" t="s">
        <v>11</v>
      </c>
      <c r="F461" s="4" t="s">
        <v>64</v>
      </c>
      <c r="G461" s="4">
        <v>24</v>
      </c>
      <c r="H461" s="4">
        <v>406</v>
      </c>
      <c r="I461" s="4">
        <v>9744</v>
      </c>
      <c r="J461" s="4">
        <f>Table1[[#This Row],[Total Sale]]*0.2</f>
        <v>1948.8000000000002</v>
      </c>
      <c r="K461" s="4" t="s">
        <v>19</v>
      </c>
    </row>
    <row r="462" spans="3:11" x14ac:dyDescent="0.3">
      <c r="C462" s="3">
        <v>45697</v>
      </c>
      <c r="D462" s="3" t="s">
        <v>46</v>
      </c>
      <c r="E462" s="4" t="s">
        <v>13</v>
      </c>
      <c r="F462" s="4" t="s">
        <v>62</v>
      </c>
      <c r="G462" s="4">
        <v>37</v>
      </c>
      <c r="H462" s="4">
        <v>407</v>
      </c>
      <c r="I462" s="4">
        <v>15059</v>
      </c>
      <c r="J462" s="4">
        <f>Table1[[#This Row],[Total Sale]]*0.2</f>
        <v>3011.8</v>
      </c>
      <c r="K462" s="4" t="s">
        <v>20</v>
      </c>
    </row>
    <row r="463" spans="3:11" x14ac:dyDescent="0.3">
      <c r="C463" s="3">
        <v>45697</v>
      </c>
      <c r="D463" s="3" t="s">
        <v>50</v>
      </c>
      <c r="E463" s="4" t="s">
        <v>18</v>
      </c>
      <c r="F463" s="4" t="s">
        <v>54</v>
      </c>
      <c r="G463" s="4">
        <v>49</v>
      </c>
      <c r="H463" s="4">
        <v>309</v>
      </c>
      <c r="I463" s="4">
        <v>15141</v>
      </c>
      <c r="J463" s="4">
        <f>Table1[[#This Row],[Total Sale]]*0.2</f>
        <v>3028.2000000000003</v>
      </c>
      <c r="K463" s="4" t="s">
        <v>8</v>
      </c>
    </row>
    <row r="464" spans="3:11" x14ac:dyDescent="0.3">
      <c r="C464" s="3">
        <v>45694</v>
      </c>
      <c r="D464" s="3" t="s">
        <v>38</v>
      </c>
      <c r="E464" s="4" t="s">
        <v>25</v>
      </c>
      <c r="F464" s="4" t="s">
        <v>65</v>
      </c>
      <c r="G464" s="4">
        <v>26</v>
      </c>
      <c r="H464" s="4">
        <v>252</v>
      </c>
      <c r="I464" s="4">
        <v>6552</v>
      </c>
      <c r="J464" s="4">
        <f>Table1[[#This Row],[Total Sale]]*0.2</f>
        <v>1310.4000000000001</v>
      </c>
      <c r="K464" s="4" t="s">
        <v>24</v>
      </c>
    </row>
    <row r="465" spans="3:11" x14ac:dyDescent="0.3">
      <c r="C465" s="3">
        <v>45694</v>
      </c>
      <c r="D465" s="3" t="s">
        <v>41</v>
      </c>
      <c r="E465" s="4" t="s">
        <v>10</v>
      </c>
      <c r="F465" s="4" t="s">
        <v>61</v>
      </c>
      <c r="G465" s="4">
        <v>22</v>
      </c>
      <c r="H465" s="4">
        <v>500</v>
      </c>
      <c r="I465" s="4">
        <v>11000</v>
      </c>
      <c r="J465" s="4">
        <f>Table1[[#This Row],[Total Sale]]*0.2</f>
        <v>2200</v>
      </c>
      <c r="K465" s="4" t="s">
        <v>17</v>
      </c>
    </row>
    <row r="466" spans="3:11" x14ac:dyDescent="0.3">
      <c r="C466" s="3">
        <v>45694</v>
      </c>
      <c r="D466" s="3" t="s">
        <v>48</v>
      </c>
      <c r="E466" s="4" t="s">
        <v>16</v>
      </c>
      <c r="F466" s="4" t="s">
        <v>58</v>
      </c>
      <c r="G466" s="4">
        <v>49</v>
      </c>
      <c r="H466" s="4">
        <v>479</v>
      </c>
      <c r="I466" s="4">
        <v>23471</v>
      </c>
      <c r="J466" s="4">
        <f>Table1[[#This Row],[Total Sale]]*0.2</f>
        <v>4694.2</v>
      </c>
      <c r="K466" s="4" t="s">
        <v>28</v>
      </c>
    </row>
    <row r="467" spans="3:11" x14ac:dyDescent="0.3">
      <c r="C467" s="3">
        <v>45693</v>
      </c>
      <c r="D467" s="3" t="s">
        <v>40</v>
      </c>
      <c r="E467" s="4" t="s">
        <v>6</v>
      </c>
      <c r="F467" s="4" t="s">
        <v>60</v>
      </c>
      <c r="G467" s="4">
        <v>43</v>
      </c>
      <c r="H467" s="4">
        <v>267</v>
      </c>
      <c r="I467" s="4">
        <v>11481</v>
      </c>
      <c r="J467" s="4">
        <f>Table1[[#This Row],[Total Sale]]*0.2</f>
        <v>2296.2000000000003</v>
      </c>
      <c r="K467" s="4" t="s">
        <v>7</v>
      </c>
    </row>
    <row r="468" spans="3:11" x14ac:dyDescent="0.3">
      <c r="C468" s="3">
        <v>45691</v>
      </c>
      <c r="D468" s="3" t="s">
        <v>47</v>
      </c>
      <c r="E468" s="4" t="s">
        <v>10</v>
      </c>
      <c r="F468" s="4" t="s">
        <v>51</v>
      </c>
      <c r="G468" s="4">
        <v>36</v>
      </c>
      <c r="H468" s="4">
        <v>461</v>
      </c>
      <c r="I468" s="4">
        <v>16596</v>
      </c>
      <c r="J468" s="4">
        <f>Table1[[#This Row],[Total Sale]]*0.2</f>
        <v>3319.2000000000003</v>
      </c>
      <c r="K468" s="4" t="s">
        <v>24</v>
      </c>
    </row>
    <row r="469" spans="3:11" x14ac:dyDescent="0.3">
      <c r="C469" s="3">
        <v>45691</v>
      </c>
      <c r="D469" s="3" t="s">
        <v>42</v>
      </c>
      <c r="E469" s="4" t="s">
        <v>29</v>
      </c>
      <c r="F469" s="4" t="s">
        <v>63</v>
      </c>
      <c r="G469" s="4">
        <v>29</v>
      </c>
      <c r="H469" s="4">
        <v>496</v>
      </c>
      <c r="I469" s="4">
        <v>14384</v>
      </c>
      <c r="J469" s="4">
        <f>Table1[[#This Row],[Total Sale]]*0.2</f>
        <v>2876.8</v>
      </c>
      <c r="K469" s="4" t="s">
        <v>20</v>
      </c>
    </row>
    <row r="470" spans="3:11" x14ac:dyDescent="0.3">
      <c r="C470" s="3">
        <v>45688</v>
      </c>
      <c r="D470" s="3" t="s">
        <v>32</v>
      </c>
      <c r="E470" s="4" t="s">
        <v>25</v>
      </c>
      <c r="F470" s="4" t="s">
        <v>66</v>
      </c>
      <c r="G470" s="4">
        <v>24</v>
      </c>
      <c r="H470" s="4">
        <v>287</v>
      </c>
      <c r="I470" s="4">
        <v>6888</v>
      </c>
      <c r="J470" s="4">
        <f>Table1[[#This Row],[Total Sale]]*0.2</f>
        <v>1377.6000000000001</v>
      </c>
      <c r="K470" s="4" t="s">
        <v>17</v>
      </c>
    </row>
    <row r="471" spans="3:11" x14ac:dyDescent="0.3">
      <c r="C471" s="3">
        <v>45688</v>
      </c>
      <c r="D471" s="3" t="s">
        <v>39</v>
      </c>
      <c r="E471" s="4" t="s">
        <v>13</v>
      </c>
      <c r="F471" s="4" t="s">
        <v>54</v>
      </c>
      <c r="G471" s="4">
        <v>19</v>
      </c>
      <c r="H471" s="4">
        <v>214</v>
      </c>
      <c r="I471" s="4">
        <v>4066</v>
      </c>
      <c r="J471" s="4">
        <f>Table1[[#This Row],[Total Sale]]*0.2</f>
        <v>813.2</v>
      </c>
      <c r="K471" s="4" t="s">
        <v>28</v>
      </c>
    </row>
    <row r="472" spans="3:11" x14ac:dyDescent="0.3">
      <c r="C472" s="3">
        <v>45687</v>
      </c>
      <c r="D472" s="3" t="s">
        <v>35</v>
      </c>
      <c r="E472" s="4" t="s">
        <v>11</v>
      </c>
      <c r="F472" s="4" t="s">
        <v>63</v>
      </c>
      <c r="G472" s="4">
        <v>32</v>
      </c>
      <c r="H472" s="4">
        <v>459</v>
      </c>
      <c r="I472" s="4">
        <v>14688</v>
      </c>
      <c r="J472" s="4">
        <f>Table1[[#This Row],[Total Sale]]*0.2</f>
        <v>2937.6000000000004</v>
      </c>
      <c r="K472" s="4" t="s">
        <v>22</v>
      </c>
    </row>
    <row r="473" spans="3:11" x14ac:dyDescent="0.3">
      <c r="C473" s="3">
        <v>45687</v>
      </c>
      <c r="D473" s="3" t="s">
        <v>38</v>
      </c>
      <c r="E473" s="4" t="s">
        <v>18</v>
      </c>
      <c r="F473" s="4" t="s">
        <v>56</v>
      </c>
      <c r="G473" s="4">
        <v>40</v>
      </c>
      <c r="H473" s="4">
        <v>307</v>
      </c>
      <c r="I473" s="4">
        <v>12280</v>
      </c>
      <c r="J473" s="4">
        <f>Table1[[#This Row],[Total Sale]]*0.2</f>
        <v>2456</v>
      </c>
      <c r="K473" s="4" t="s">
        <v>22</v>
      </c>
    </row>
    <row r="474" spans="3:11" x14ac:dyDescent="0.3">
      <c r="C474" s="3">
        <v>45686</v>
      </c>
      <c r="D474" s="3" t="s">
        <v>31</v>
      </c>
      <c r="E474" s="4" t="s">
        <v>25</v>
      </c>
      <c r="F474" s="4" t="s">
        <v>58</v>
      </c>
      <c r="G474" s="4">
        <v>14</v>
      </c>
      <c r="H474" s="4">
        <v>372</v>
      </c>
      <c r="I474" s="4">
        <v>5208</v>
      </c>
      <c r="J474" s="4">
        <f>Table1[[#This Row],[Total Sale]]*0.2</f>
        <v>1041.6000000000001</v>
      </c>
      <c r="K474" s="4" t="s">
        <v>7</v>
      </c>
    </row>
    <row r="475" spans="3:11" x14ac:dyDescent="0.3">
      <c r="C475" s="3">
        <v>45686</v>
      </c>
      <c r="D475" s="3" t="s">
        <v>43</v>
      </c>
      <c r="E475" s="4" t="s">
        <v>11</v>
      </c>
      <c r="F475" s="4" t="s">
        <v>61</v>
      </c>
      <c r="G475" s="4">
        <v>32</v>
      </c>
      <c r="H475" s="4">
        <v>437</v>
      </c>
      <c r="I475" s="4">
        <v>13984</v>
      </c>
      <c r="J475" s="4">
        <f>Table1[[#This Row],[Total Sale]]*0.2</f>
        <v>2796.8</v>
      </c>
      <c r="K475" s="4" t="s">
        <v>8</v>
      </c>
    </row>
    <row r="476" spans="3:11" x14ac:dyDescent="0.3">
      <c r="C476" s="3">
        <v>45685</v>
      </c>
      <c r="D476" s="3" t="s">
        <v>32</v>
      </c>
      <c r="E476" s="4" t="s">
        <v>6</v>
      </c>
      <c r="F476" s="4" t="s">
        <v>53</v>
      </c>
      <c r="G476" s="4">
        <v>15</v>
      </c>
      <c r="H476" s="4">
        <v>499</v>
      </c>
      <c r="I476" s="4">
        <v>7485</v>
      </c>
      <c r="J476" s="4">
        <f>Table1[[#This Row],[Total Sale]]*0.2</f>
        <v>1497</v>
      </c>
      <c r="K476" s="4" t="s">
        <v>22</v>
      </c>
    </row>
    <row r="477" spans="3:11" x14ac:dyDescent="0.3">
      <c r="C477" s="3">
        <v>45684</v>
      </c>
      <c r="D477" s="3" t="s">
        <v>35</v>
      </c>
      <c r="E477" s="4" t="s">
        <v>6</v>
      </c>
      <c r="F477" s="4" t="s">
        <v>54</v>
      </c>
      <c r="G477" s="4">
        <v>45</v>
      </c>
      <c r="H477" s="4">
        <v>295</v>
      </c>
      <c r="I477" s="4">
        <v>13275</v>
      </c>
      <c r="J477" s="4">
        <f>Table1[[#This Row],[Total Sale]]*0.2</f>
        <v>2655</v>
      </c>
      <c r="K477" s="4" t="s">
        <v>21</v>
      </c>
    </row>
    <row r="478" spans="3:11" x14ac:dyDescent="0.3">
      <c r="C478" s="3">
        <v>45684</v>
      </c>
      <c r="D478" s="3" t="s">
        <v>44</v>
      </c>
      <c r="E478" s="4" t="s">
        <v>18</v>
      </c>
      <c r="F478" s="4" t="s">
        <v>57</v>
      </c>
      <c r="G478" s="4">
        <v>12</v>
      </c>
      <c r="H478" s="4">
        <v>200</v>
      </c>
      <c r="I478" s="4">
        <v>2400</v>
      </c>
      <c r="J478" s="4">
        <f>Table1[[#This Row],[Total Sale]]*0.2</f>
        <v>480</v>
      </c>
      <c r="K478" s="4" t="s">
        <v>22</v>
      </c>
    </row>
    <row r="479" spans="3:11" x14ac:dyDescent="0.3">
      <c r="C479" s="3">
        <v>45684</v>
      </c>
      <c r="D479" s="3" t="s">
        <v>45</v>
      </c>
      <c r="E479" s="4" t="s">
        <v>16</v>
      </c>
      <c r="F479" s="4" t="s">
        <v>65</v>
      </c>
      <c r="G479" s="4">
        <v>12</v>
      </c>
      <c r="H479" s="4">
        <v>432</v>
      </c>
      <c r="I479" s="4">
        <v>5184</v>
      </c>
      <c r="J479" s="4">
        <f>Table1[[#This Row],[Total Sale]]*0.2</f>
        <v>1036.8</v>
      </c>
      <c r="K479" s="4" t="s">
        <v>17</v>
      </c>
    </row>
    <row r="480" spans="3:11" x14ac:dyDescent="0.3">
      <c r="C480" s="3">
        <v>45684</v>
      </c>
      <c r="D480" s="3" t="s">
        <v>46</v>
      </c>
      <c r="E480" s="4" t="s">
        <v>16</v>
      </c>
      <c r="F480" s="4" t="s">
        <v>64</v>
      </c>
      <c r="G480" s="4">
        <v>28</v>
      </c>
      <c r="H480" s="4">
        <v>264</v>
      </c>
      <c r="I480" s="4">
        <v>7392</v>
      </c>
      <c r="J480" s="4">
        <f>Table1[[#This Row],[Total Sale]]*0.2</f>
        <v>1478.4</v>
      </c>
      <c r="K480" s="4" t="s">
        <v>9</v>
      </c>
    </row>
    <row r="481" spans="3:11" x14ac:dyDescent="0.3">
      <c r="C481" s="3">
        <v>45683</v>
      </c>
      <c r="D481" s="3" t="s">
        <v>44</v>
      </c>
      <c r="E481" s="4" t="s">
        <v>18</v>
      </c>
      <c r="F481" s="4" t="s">
        <v>70</v>
      </c>
      <c r="G481" s="4">
        <v>42</v>
      </c>
      <c r="H481" s="4">
        <v>417</v>
      </c>
      <c r="I481" s="4">
        <v>17514</v>
      </c>
      <c r="J481" s="4">
        <f>Table1[[#This Row],[Total Sale]]*0.2</f>
        <v>3502.8</v>
      </c>
      <c r="K481" s="4" t="s">
        <v>22</v>
      </c>
    </row>
    <row r="482" spans="3:11" x14ac:dyDescent="0.3">
      <c r="C482" s="3">
        <v>45683</v>
      </c>
      <c r="D482" s="3" t="s">
        <v>45</v>
      </c>
      <c r="E482" s="4" t="s">
        <v>18</v>
      </c>
      <c r="F482" s="4" t="s">
        <v>64</v>
      </c>
      <c r="G482" s="4">
        <v>36</v>
      </c>
      <c r="H482" s="4">
        <v>372</v>
      </c>
      <c r="I482" s="4">
        <v>13392</v>
      </c>
      <c r="J482" s="4">
        <f>Table1[[#This Row],[Total Sale]]*0.2</f>
        <v>2678.4</v>
      </c>
      <c r="K482" s="4" t="s">
        <v>19</v>
      </c>
    </row>
    <row r="483" spans="3:11" x14ac:dyDescent="0.3">
      <c r="C483" s="3">
        <v>45682</v>
      </c>
      <c r="D483" s="3" t="s">
        <v>32</v>
      </c>
      <c r="E483" s="4" t="s">
        <v>25</v>
      </c>
      <c r="F483" s="4" t="s">
        <v>55</v>
      </c>
      <c r="G483" s="4">
        <v>36</v>
      </c>
      <c r="H483" s="4">
        <v>411</v>
      </c>
      <c r="I483" s="4">
        <v>14796</v>
      </c>
      <c r="J483" s="4">
        <f>Table1[[#This Row],[Total Sale]]*0.2</f>
        <v>2959.2000000000003</v>
      </c>
      <c r="K483" s="4" t="s">
        <v>20</v>
      </c>
    </row>
    <row r="484" spans="3:11" x14ac:dyDescent="0.3">
      <c r="C484" s="3">
        <v>45682</v>
      </c>
      <c r="D484" s="3" t="s">
        <v>38</v>
      </c>
      <c r="E484" s="4" t="s">
        <v>10</v>
      </c>
      <c r="F484" s="4" t="s">
        <v>67</v>
      </c>
      <c r="G484" s="4">
        <v>40</v>
      </c>
      <c r="H484" s="4">
        <v>434</v>
      </c>
      <c r="I484" s="4">
        <v>17360</v>
      </c>
      <c r="J484" s="4">
        <f>Table1[[#This Row],[Total Sale]]*0.2</f>
        <v>3472</v>
      </c>
      <c r="K484" s="4" t="s">
        <v>17</v>
      </c>
    </row>
    <row r="485" spans="3:11" x14ac:dyDescent="0.3">
      <c r="C485" s="3">
        <v>45682</v>
      </c>
      <c r="D485" s="3" t="s">
        <v>43</v>
      </c>
      <c r="E485" s="4" t="s">
        <v>6</v>
      </c>
      <c r="F485" s="4" t="s">
        <v>62</v>
      </c>
      <c r="G485" s="4">
        <v>35</v>
      </c>
      <c r="H485" s="4">
        <v>319</v>
      </c>
      <c r="I485" s="4">
        <v>11165</v>
      </c>
      <c r="J485" s="4">
        <f>Table1[[#This Row],[Total Sale]]*0.2</f>
        <v>2233</v>
      </c>
      <c r="K485" s="4" t="s">
        <v>21</v>
      </c>
    </row>
    <row r="486" spans="3:11" x14ac:dyDescent="0.3">
      <c r="C486" s="3">
        <v>45681</v>
      </c>
      <c r="D486" s="3" t="s">
        <v>37</v>
      </c>
      <c r="E486" s="4" t="s">
        <v>11</v>
      </c>
      <c r="F486" s="4" t="s">
        <v>64</v>
      </c>
      <c r="G486" s="4">
        <v>11</v>
      </c>
      <c r="H486" s="4">
        <v>350</v>
      </c>
      <c r="I486" s="4">
        <v>3850</v>
      </c>
      <c r="J486" s="4">
        <f>Table1[[#This Row],[Total Sale]]*0.2</f>
        <v>770</v>
      </c>
      <c r="K486" s="4" t="s">
        <v>8</v>
      </c>
    </row>
    <row r="487" spans="3:11" x14ac:dyDescent="0.3">
      <c r="C487" s="3">
        <v>45681</v>
      </c>
      <c r="D487" s="3" t="s">
        <v>44</v>
      </c>
      <c r="E487" s="4" t="s">
        <v>29</v>
      </c>
      <c r="F487" s="4" t="s">
        <v>61</v>
      </c>
      <c r="G487" s="4">
        <v>14</v>
      </c>
      <c r="H487" s="4">
        <v>238</v>
      </c>
      <c r="I487" s="4">
        <v>3332</v>
      </c>
      <c r="J487" s="4">
        <f>Table1[[#This Row],[Total Sale]]*0.2</f>
        <v>666.40000000000009</v>
      </c>
      <c r="K487" s="4" t="s">
        <v>20</v>
      </c>
    </row>
    <row r="488" spans="3:11" x14ac:dyDescent="0.3">
      <c r="C488" s="3">
        <v>45680</v>
      </c>
      <c r="D488" s="3" t="s">
        <v>50</v>
      </c>
      <c r="E488" s="4" t="s">
        <v>10</v>
      </c>
      <c r="F488" s="4" t="s">
        <v>54</v>
      </c>
      <c r="G488" s="4">
        <v>15</v>
      </c>
      <c r="H488" s="4">
        <v>256</v>
      </c>
      <c r="I488" s="4">
        <v>3840</v>
      </c>
      <c r="J488" s="4">
        <f>Table1[[#This Row],[Total Sale]]*0.2</f>
        <v>768</v>
      </c>
      <c r="K488" s="4" t="s">
        <v>17</v>
      </c>
    </row>
    <row r="489" spans="3:11" x14ac:dyDescent="0.3">
      <c r="C489" s="3">
        <v>45680</v>
      </c>
      <c r="D489" s="3" t="s">
        <v>50</v>
      </c>
      <c r="E489" s="4" t="s">
        <v>29</v>
      </c>
      <c r="F489" s="4" t="s">
        <v>65</v>
      </c>
      <c r="G489" s="4">
        <v>37</v>
      </c>
      <c r="H489" s="4">
        <v>478</v>
      </c>
      <c r="I489" s="4">
        <v>17686</v>
      </c>
      <c r="J489" s="4">
        <f>Table1[[#This Row],[Total Sale]]*0.2</f>
        <v>3537.2000000000003</v>
      </c>
      <c r="K489" s="4" t="s">
        <v>12</v>
      </c>
    </row>
    <row r="490" spans="3:11" x14ac:dyDescent="0.3">
      <c r="C490" s="3">
        <v>45679</v>
      </c>
      <c r="D490" s="3" t="s">
        <v>47</v>
      </c>
      <c r="E490" s="4" t="s">
        <v>26</v>
      </c>
      <c r="F490" s="4" t="s">
        <v>68</v>
      </c>
      <c r="G490" s="4">
        <v>18</v>
      </c>
      <c r="H490" s="4">
        <v>398</v>
      </c>
      <c r="I490" s="4">
        <v>7164</v>
      </c>
      <c r="J490" s="4">
        <f>Table1[[#This Row],[Total Sale]]*0.2</f>
        <v>1432.8000000000002</v>
      </c>
      <c r="K490" s="4" t="s">
        <v>17</v>
      </c>
    </row>
    <row r="491" spans="3:11" x14ac:dyDescent="0.3">
      <c r="C491" s="3">
        <v>45678</v>
      </c>
      <c r="D491" s="3" t="s">
        <v>39</v>
      </c>
      <c r="E491" s="4" t="s">
        <v>6</v>
      </c>
      <c r="F491" s="4" t="s">
        <v>61</v>
      </c>
      <c r="G491" s="4">
        <v>45</v>
      </c>
      <c r="H491" s="4">
        <v>327</v>
      </c>
      <c r="I491" s="4">
        <v>14715</v>
      </c>
      <c r="J491" s="4">
        <f>Table1[[#This Row],[Total Sale]]*0.2</f>
        <v>2943</v>
      </c>
      <c r="K491" s="4" t="s">
        <v>23</v>
      </c>
    </row>
    <row r="492" spans="3:11" x14ac:dyDescent="0.3">
      <c r="C492" s="3">
        <v>45676</v>
      </c>
      <c r="D492" s="3" t="s">
        <v>35</v>
      </c>
      <c r="E492" s="4" t="s">
        <v>11</v>
      </c>
      <c r="F492" s="4" t="s">
        <v>70</v>
      </c>
      <c r="G492" s="4">
        <v>17</v>
      </c>
      <c r="H492" s="4">
        <v>450</v>
      </c>
      <c r="I492" s="4">
        <v>7650</v>
      </c>
      <c r="J492" s="4">
        <f>Table1[[#This Row],[Total Sale]]*0.2</f>
        <v>1530</v>
      </c>
      <c r="K492" s="4" t="s">
        <v>17</v>
      </c>
    </row>
    <row r="493" spans="3:11" x14ac:dyDescent="0.3">
      <c r="C493" s="3">
        <v>45676</v>
      </c>
      <c r="D493" s="3" t="s">
        <v>33</v>
      </c>
      <c r="E493" s="4" t="s">
        <v>13</v>
      </c>
      <c r="F493" s="4" t="s">
        <v>54</v>
      </c>
      <c r="G493" s="4">
        <v>12</v>
      </c>
      <c r="H493" s="4">
        <v>461</v>
      </c>
      <c r="I493" s="4">
        <v>5532</v>
      </c>
      <c r="J493" s="4">
        <f>Table1[[#This Row],[Total Sale]]*0.2</f>
        <v>1106.4000000000001</v>
      </c>
      <c r="K493" s="4" t="s">
        <v>20</v>
      </c>
    </row>
    <row r="494" spans="3:11" x14ac:dyDescent="0.3">
      <c r="C494" s="3">
        <v>45675</v>
      </c>
      <c r="D494" s="3" t="s">
        <v>37</v>
      </c>
      <c r="E494" s="4" t="s">
        <v>27</v>
      </c>
      <c r="F494" s="4" t="s">
        <v>58</v>
      </c>
      <c r="G494" s="4">
        <v>40</v>
      </c>
      <c r="H494" s="4">
        <v>466</v>
      </c>
      <c r="I494" s="4">
        <v>18640</v>
      </c>
      <c r="J494" s="4">
        <f>Table1[[#This Row],[Total Sale]]*0.2</f>
        <v>3728</v>
      </c>
      <c r="K494" s="4" t="s">
        <v>19</v>
      </c>
    </row>
    <row r="495" spans="3:11" x14ac:dyDescent="0.3">
      <c r="C495" s="3">
        <v>45675</v>
      </c>
      <c r="D495" s="3" t="s">
        <v>32</v>
      </c>
      <c r="E495" s="4" t="s">
        <v>18</v>
      </c>
      <c r="F495" s="4" t="s">
        <v>53</v>
      </c>
      <c r="G495" s="4">
        <v>32</v>
      </c>
      <c r="H495" s="4">
        <v>275</v>
      </c>
      <c r="I495" s="4">
        <v>8800</v>
      </c>
      <c r="J495" s="4">
        <f>Table1[[#This Row],[Total Sale]]*0.2</f>
        <v>1760</v>
      </c>
      <c r="K495" s="4" t="s">
        <v>21</v>
      </c>
    </row>
    <row r="496" spans="3:11" x14ac:dyDescent="0.3">
      <c r="C496" s="3">
        <v>45674</v>
      </c>
      <c r="D496" s="3" t="s">
        <v>49</v>
      </c>
      <c r="E496" s="4" t="s">
        <v>26</v>
      </c>
      <c r="F496" s="4" t="s">
        <v>66</v>
      </c>
      <c r="G496" s="4">
        <v>36</v>
      </c>
      <c r="H496" s="4">
        <v>426</v>
      </c>
      <c r="I496" s="4">
        <v>15336</v>
      </c>
      <c r="J496" s="4">
        <f>Table1[[#This Row],[Total Sale]]*0.2</f>
        <v>3067.2000000000003</v>
      </c>
      <c r="K496" s="4" t="s">
        <v>9</v>
      </c>
    </row>
    <row r="497" spans="3:11" x14ac:dyDescent="0.3">
      <c r="C497" s="3">
        <v>45674</v>
      </c>
      <c r="D497" s="3" t="s">
        <v>32</v>
      </c>
      <c r="E497" s="4" t="s">
        <v>11</v>
      </c>
      <c r="F497" s="4" t="s">
        <v>65</v>
      </c>
      <c r="G497" s="4">
        <v>35</v>
      </c>
      <c r="H497" s="4">
        <v>260</v>
      </c>
      <c r="I497" s="4">
        <v>9100</v>
      </c>
      <c r="J497" s="4">
        <f>Table1[[#This Row],[Total Sale]]*0.2</f>
        <v>1820</v>
      </c>
      <c r="K497" s="4" t="s">
        <v>8</v>
      </c>
    </row>
    <row r="498" spans="3:11" x14ac:dyDescent="0.3">
      <c r="C498" s="3">
        <v>45673</v>
      </c>
      <c r="D498" s="3" t="s">
        <v>36</v>
      </c>
      <c r="E498" s="4" t="s">
        <v>16</v>
      </c>
      <c r="F498" s="4" t="s">
        <v>63</v>
      </c>
      <c r="G498" s="4">
        <v>18</v>
      </c>
      <c r="H498" s="4">
        <v>494</v>
      </c>
      <c r="I498" s="4">
        <v>8892</v>
      </c>
      <c r="J498" s="4">
        <f>Table1[[#This Row],[Total Sale]]*0.2</f>
        <v>1778.4</v>
      </c>
      <c r="K498" s="4" t="s">
        <v>15</v>
      </c>
    </row>
    <row r="499" spans="3:11" x14ac:dyDescent="0.3">
      <c r="C499" s="3">
        <v>45671</v>
      </c>
      <c r="D499" s="3" t="s">
        <v>47</v>
      </c>
      <c r="E499" s="4" t="s">
        <v>11</v>
      </c>
      <c r="F499" s="4" t="s">
        <v>67</v>
      </c>
      <c r="G499" s="4">
        <v>13</v>
      </c>
      <c r="H499" s="4">
        <v>328</v>
      </c>
      <c r="I499" s="4">
        <v>4264</v>
      </c>
      <c r="J499" s="4">
        <f>Table1[[#This Row],[Total Sale]]*0.2</f>
        <v>852.80000000000007</v>
      </c>
      <c r="K499" s="4" t="s">
        <v>23</v>
      </c>
    </row>
    <row r="500" spans="3:11" x14ac:dyDescent="0.3">
      <c r="C500" s="3">
        <v>45671</v>
      </c>
      <c r="D500" s="3" t="s">
        <v>33</v>
      </c>
      <c r="E500" s="4" t="s">
        <v>16</v>
      </c>
      <c r="F500" s="4" t="s">
        <v>60</v>
      </c>
      <c r="G500" s="4">
        <v>27</v>
      </c>
      <c r="H500" s="4">
        <v>282</v>
      </c>
      <c r="I500" s="4">
        <v>7614</v>
      </c>
      <c r="J500" s="4">
        <f>Table1[[#This Row],[Total Sale]]*0.2</f>
        <v>1522.8000000000002</v>
      </c>
      <c r="K500" s="4" t="s">
        <v>14</v>
      </c>
    </row>
    <row r="501" spans="3:11" x14ac:dyDescent="0.3">
      <c r="C501" s="3">
        <v>45670</v>
      </c>
      <c r="D501" s="3" t="s">
        <v>50</v>
      </c>
      <c r="E501" s="4" t="s">
        <v>16</v>
      </c>
      <c r="F501" s="4" t="s">
        <v>54</v>
      </c>
      <c r="G501" s="4">
        <v>39</v>
      </c>
      <c r="H501" s="4">
        <v>420</v>
      </c>
      <c r="I501" s="4">
        <v>16380</v>
      </c>
      <c r="J501" s="4">
        <f>Table1[[#This Row],[Total Sale]]*0.2</f>
        <v>3276</v>
      </c>
      <c r="K501" s="4" t="s">
        <v>21</v>
      </c>
    </row>
    <row r="502" spans="3:11" x14ac:dyDescent="0.3">
      <c r="C502" s="3">
        <v>45669</v>
      </c>
      <c r="D502" s="3" t="s">
        <v>35</v>
      </c>
      <c r="E502" s="4" t="s">
        <v>26</v>
      </c>
      <c r="F502" s="4" t="s">
        <v>64</v>
      </c>
      <c r="G502" s="4">
        <v>47</v>
      </c>
      <c r="H502" s="4">
        <v>259</v>
      </c>
      <c r="I502" s="4">
        <v>12173</v>
      </c>
      <c r="J502" s="4">
        <f>Table1[[#This Row],[Total Sale]]*0.2</f>
        <v>2434.6</v>
      </c>
      <c r="K502" s="4" t="s">
        <v>22</v>
      </c>
    </row>
    <row r="503" spans="3:11" x14ac:dyDescent="0.3">
      <c r="C503" s="3">
        <v>45669</v>
      </c>
      <c r="D503" s="3" t="s">
        <v>45</v>
      </c>
      <c r="E503" s="4" t="s">
        <v>11</v>
      </c>
      <c r="F503" s="4" t="s">
        <v>57</v>
      </c>
      <c r="G503" s="4">
        <v>14</v>
      </c>
      <c r="H503" s="4">
        <v>499</v>
      </c>
      <c r="I503" s="4">
        <v>6986</v>
      </c>
      <c r="J503" s="4">
        <f>Table1[[#This Row],[Total Sale]]*0.2</f>
        <v>1397.2</v>
      </c>
      <c r="K503" s="4" t="s">
        <v>24</v>
      </c>
    </row>
    <row r="504" spans="3:11" x14ac:dyDescent="0.3">
      <c r="C504" s="3">
        <v>45669</v>
      </c>
      <c r="D504" s="3" t="s">
        <v>38</v>
      </c>
      <c r="E504" s="4" t="s">
        <v>13</v>
      </c>
      <c r="F504" s="4" t="s">
        <v>66</v>
      </c>
      <c r="G504" s="4">
        <v>11</v>
      </c>
      <c r="H504" s="4">
        <v>355</v>
      </c>
      <c r="I504" s="4">
        <v>3905</v>
      </c>
      <c r="J504" s="4">
        <f>Table1[[#This Row],[Total Sale]]*0.2</f>
        <v>781</v>
      </c>
      <c r="K504" s="4" t="s">
        <v>9</v>
      </c>
    </row>
    <row r="505" spans="3:11" x14ac:dyDescent="0.3">
      <c r="C505" s="3">
        <v>45668</v>
      </c>
      <c r="D505" s="3" t="s">
        <v>40</v>
      </c>
      <c r="E505" s="4" t="s">
        <v>16</v>
      </c>
      <c r="F505" s="4" t="s">
        <v>55</v>
      </c>
      <c r="G505" s="4">
        <v>33</v>
      </c>
      <c r="H505" s="4">
        <v>436</v>
      </c>
      <c r="I505" s="4">
        <v>14388</v>
      </c>
      <c r="J505" s="4">
        <f>Table1[[#This Row],[Total Sale]]*0.2</f>
        <v>2877.6000000000004</v>
      </c>
      <c r="K505" s="4" t="s">
        <v>14</v>
      </c>
    </row>
    <row r="506" spans="3:11" x14ac:dyDescent="0.3">
      <c r="C506" s="3">
        <v>45667</v>
      </c>
      <c r="D506" s="3" t="s">
        <v>34</v>
      </c>
      <c r="E506" s="4" t="s">
        <v>11</v>
      </c>
      <c r="F506" s="4" t="s">
        <v>52</v>
      </c>
      <c r="G506" s="4">
        <v>10</v>
      </c>
      <c r="H506" s="4">
        <v>404</v>
      </c>
      <c r="I506" s="4">
        <v>4040</v>
      </c>
      <c r="J506" s="4">
        <f>Table1[[#This Row],[Total Sale]]*0.2</f>
        <v>808</v>
      </c>
      <c r="K506" s="4" t="s">
        <v>12</v>
      </c>
    </row>
    <row r="507" spans="3:11" x14ac:dyDescent="0.3">
      <c r="C507" s="3">
        <v>45667</v>
      </c>
      <c r="D507" s="3" t="s">
        <v>39</v>
      </c>
      <c r="E507" s="4" t="s">
        <v>16</v>
      </c>
      <c r="F507" s="4" t="s">
        <v>53</v>
      </c>
      <c r="G507" s="4">
        <v>50</v>
      </c>
      <c r="H507" s="4">
        <v>223</v>
      </c>
      <c r="I507" s="4">
        <v>11150</v>
      </c>
      <c r="J507" s="4">
        <f>Table1[[#This Row],[Total Sale]]*0.2</f>
        <v>2230</v>
      </c>
      <c r="K507" s="4" t="s">
        <v>17</v>
      </c>
    </row>
    <row r="508" spans="3:11" x14ac:dyDescent="0.3">
      <c r="C508" s="3">
        <v>45666</v>
      </c>
      <c r="D508" s="3" t="s">
        <v>36</v>
      </c>
      <c r="E508" s="4" t="s">
        <v>10</v>
      </c>
      <c r="F508" s="4" t="s">
        <v>69</v>
      </c>
      <c r="G508" s="4">
        <v>17</v>
      </c>
      <c r="H508" s="4">
        <v>264</v>
      </c>
      <c r="I508" s="4">
        <v>4488</v>
      </c>
      <c r="J508" s="4">
        <f>Table1[[#This Row],[Total Sale]]*0.2</f>
        <v>897.6</v>
      </c>
      <c r="K508" s="4" t="s">
        <v>22</v>
      </c>
    </row>
    <row r="509" spans="3:11" x14ac:dyDescent="0.3">
      <c r="C509" s="3">
        <v>45665</v>
      </c>
      <c r="D509" s="3" t="s">
        <v>42</v>
      </c>
      <c r="E509" s="4" t="s">
        <v>26</v>
      </c>
      <c r="F509" s="4" t="s">
        <v>58</v>
      </c>
      <c r="G509" s="4">
        <v>25</v>
      </c>
      <c r="H509" s="4">
        <v>202</v>
      </c>
      <c r="I509" s="4">
        <v>5050</v>
      </c>
      <c r="J509" s="4">
        <f>Table1[[#This Row],[Total Sale]]*0.2</f>
        <v>1010</v>
      </c>
      <c r="K509" s="4" t="s">
        <v>20</v>
      </c>
    </row>
    <row r="510" spans="3:11" x14ac:dyDescent="0.3">
      <c r="C510" s="3">
        <v>45664</v>
      </c>
      <c r="D510" s="3" t="s">
        <v>41</v>
      </c>
      <c r="E510" s="4" t="s">
        <v>25</v>
      </c>
      <c r="F510" s="4" t="s">
        <v>58</v>
      </c>
      <c r="G510" s="4">
        <v>25</v>
      </c>
      <c r="H510" s="4">
        <v>292</v>
      </c>
      <c r="I510" s="4">
        <v>7300</v>
      </c>
      <c r="J510" s="4">
        <f>Table1[[#This Row],[Total Sale]]*0.2</f>
        <v>1460</v>
      </c>
      <c r="K510" s="4" t="s">
        <v>15</v>
      </c>
    </row>
    <row r="511" spans="3:11" x14ac:dyDescent="0.3">
      <c r="C511" s="3">
        <v>45664</v>
      </c>
      <c r="D511" s="3" t="s">
        <v>47</v>
      </c>
      <c r="E511" s="4" t="s">
        <v>18</v>
      </c>
      <c r="F511" s="4" t="s">
        <v>61</v>
      </c>
      <c r="G511" s="4">
        <v>36</v>
      </c>
      <c r="H511" s="4">
        <v>221</v>
      </c>
      <c r="I511" s="4">
        <v>7956</v>
      </c>
      <c r="J511" s="4">
        <f>Table1[[#This Row],[Total Sale]]*0.2</f>
        <v>1591.2</v>
      </c>
      <c r="K511" s="4" t="s">
        <v>12</v>
      </c>
    </row>
    <row r="512" spans="3:11" x14ac:dyDescent="0.3">
      <c r="C512" s="3">
        <v>45664</v>
      </c>
      <c r="D512" s="3" t="s">
        <v>39</v>
      </c>
      <c r="E512" s="4" t="s">
        <v>18</v>
      </c>
      <c r="F512" s="4" t="s">
        <v>60</v>
      </c>
      <c r="G512" s="4">
        <v>30</v>
      </c>
      <c r="H512" s="4">
        <v>215</v>
      </c>
      <c r="I512" s="4">
        <v>6450</v>
      </c>
      <c r="J512" s="4">
        <f>Table1[[#This Row],[Total Sale]]*0.2</f>
        <v>1290</v>
      </c>
      <c r="K512" s="4" t="s">
        <v>8</v>
      </c>
    </row>
    <row r="513" spans="3:11" x14ac:dyDescent="0.3">
      <c r="C513" s="3">
        <v>45663</v>
      </c>
      <c r="D513" s="3" t="s">
        <v>40</v>
      </c>
      <c r="E513" s="4" t="s">
        <v>25</v>
      </c>
      <c r="F513" s="4" t="s">
        <v>65</v>
      </c>
      <c r="G513" s="4">
        <v>12</v>
      </c>
      <c r="H513" s="4">
        <v>442</v>
      </c>
      <c r="I513" s="4">
        <v>5304</v>
      </c>
      <c r="J513" s="4">
        <f>Table1[[#This Row],[Total Sale]]*0.2</f>
        <v>1060.8</v>
      </c>
      <c r="K513" s="4" t="s">
        <v>17</v>
      </c>
    </row>
    <row r="514" spans="3:11" x14ac:dyDescent="0.3">
      <c r="C514" s="3">
        <v>45663</v>
      </c>
      <c r="D514" s="3" t="s">
        <v>38</v>
      </c>
      <c r="E514" s="4" t="s">
        <v>29</v>
      </c>
      <c r="F514" s="4" t="s">
        <v>58</v>
      </c>
      <c r="G514" s="4">
        <v>24</v>
      </c>
      <c r="H514" s="4">
        <v>372</v>
      </c>
      <c r="I514" s="4">
        <v>8928</v>
      </c>
      <c r="J514" s="4">
        <f>Table1[[#This Row],[Total Sale]]*0.2</f>
        <v>1785.6000000000001</v>
      </c>
      <c r="K514" s="4" t="s">
        <v>14</v>
      </c>
    </row>
    <row r="515" spans="3:11" x14ac:dyDescent="0.3">
      <c r="C515" s="3">
        <v>45663</v>
      </c>
      <c r="D515" s="3" t="s">
        <v>32</v>
      </c>
      <c r="E515" s="4" t="s">
        <v>29</v>
      </c>
      <c r="F515" s="4" t="s">
        <v>70</v>
      </c>
      <c r="G515" s="4">
        <v>26</v>
      </c>
      <c r="H515" s="4">
        <v>295</v>
      </c>
      <c r="I515" s="4">
        <v>7670</v>
      </c>
      <c r="J515" s="4">
        <f>Table1[[#This Row],[Total Sale]]*0.2</f>
        <v>1534</v>
      </c>
      <c r="K515" s="4" t="s">
        <v>23</v>
      </c>
    </row>
    <row r="516" spans="3:11" x14ac:dyDescent="0.3">
      <c r="C516" s="3">
        <v>45661</v>
      </c>
      <c r="D516" s="3" t="s">
        <v>38</v>
      </c>
      <c r="E516" s="4" t="s">
        <v>26</v>
      </c>
      <c r="F516" s="4" t="s">
        <v>56</v>
      </c>
      <c r="G516" s="4">
        <v>40</v>
      </c>
      <c r="H516" s="4">
        <v>284</v>
      </c>
      <c r="I516" s="4">
        <v>11360</v>
      </c>
      <c r="J516" s="4">
        <f>Table1[[#This Row],[Total Sale]]*0.2</f>
        <v>2272</v>
      </c>
      <c r="K516" s="4" t="s">
        <v>9</v>
      </c>
    </row>
    <row r="517" spans="3:11" x14ac:dyDescent="0.3">
      <c r="C517" s="3">
        <v>45661</v>
      </c>
      <c r="D517" s="3" t="s">
        <v>38</v>
      </c>
      <c r="E517" s="4" t="s">
        <v>11</v>
      </c>
      <c r="F517" s="4" t="s">
        <v>59</v>
      </c>
      <c r="G517" s="4">
        <v>42</v>
      </c>
      <c r="H517" s="4">
        <v>336</v>
      </c>
      <c r="I517" s="4">
        <v>14112</v>
      </c>
      <c r="J517" s="4">
        <f>Table1[[#This Row],[Total Sale]]*0.2</f>
        <v>2822.4</v>
      </c>
      <c r="K517" s="4" t="s">
        <v>20</v>
      </c>
    </row>
    <row r="518" spans="3:11" x14ac:dyDescent="0.3">
      <c r="C518" s="3">
        <v>45661</v>
      </c>
      <c r="D518" s="3" t="s">
        <v>48</v>
      </c>
      <c r="E518" s="4" t="s">
        <v>29</v>
      </c>
      <c r="F518" s="4" t="s">
        <v>60</v>
      </c>
      <c r="G518" s="4">
        <v>30</v>
      </c>
      <c r="H518" s="4">
        <v>277</v>
      </c>
      <c r="I518" s="4">
        <v>8310</v>
      </c>
      <c r="J518" s="4">
        <f>Table1[[#This Row],[Total Sale]]*0.2</f>
        <v>1662</v>
      </c>
      <c r="K518" s="4" t="s">
        <v>24</v>
      </c>
    </row>
    <row r="519" spans="3:11" x14ac:dyDescent="0.3">
      <c r="C519" s="3">
        <v>45660</v>
      </c>
      <c r="D519" s="3" t="s">
        <v>40</v>
      </c>
      <c r="E519" s="4" t="s">
        <v>25</v>
      </c>
      <c r="F519" s="4" t="s">
        <v>53</v>
      </c>
      <c r="G519" s="4">
        <v>25</v>
      </c>
      <c r="H519" s="4">
        <v>304</v>
      </c>
      <c r="I519" s="4">
        <v>7600</v>
      </c>
      <c r="J519" s="4">
        <f>Table1[[#This Row],[Total Sale]]*0.2</f>
        <v>1520</v>
      </c>
      <c r="K519" s="4" t="s">
        <v>9</v>
      </c>
    </row>
    <row r="520" spans="3:11" x14ac:dyDescent="0.3">
      <c r="C520" s="3">
        <v>45658</v>
      </c>
      <c r="D520" s="3" t="s">
        <v>45</v>
      </c>
      <c r="E520" s="4" t="s">
        <v>27</v>
      </c>
      <c r="F520" s="4" t="s">
        <v>60</v>
      </c>
      <c r="G520" s="4">
        <v>45</v>
      </c>
      <c r="H520" s="4">
        <v>484</v>
      </c>
      <c r="I520" s="4">
        <v>21780</v>
      </c>
      <c r="J520" s="4">
        <f>Table1[[#This Row],[Total Sale]]*0.2</f>
        <v>4356</v>
      </c>
      <c r="K520" s="4" t="s">
        <v>23</v>
      </c>
    </row>
    <row r="521" spans="3:11" x14ac:dyDescent="0.3">
      <c r="C521" s="3">
        <v>45656</v>
      </c>
      <c r="D521" s="3" t="s">
        <v>43</v>
      </c>
      <c r="E521" s="4" t="s">
        <v>11</v>
      </c>
      <c r="F521" s="4" t="s">
        <v>55</v>
      </c>
      <c r="G521" s="4">
        <v>20</v>
      </c>
      <c r="H521" s="4">
        <v>207</v>
      </c>
      <c r="I521" s="4">
        <v>4140</v>
      </c>
      <c r="J521" s="4">
        <f>Table1[[#This Row],[Total Sale]]*0.2</f>
        <v>828</v>
      </c>
      <c r="K521" s="4" t="s">
        <v>20</v>
      </c>
    </row>
    <row r="522" spans="3:11" x14ac:dyDescent="0.3">
      <c r="C522" s="3">
        <v>45653</v>
      </c>
      <c r="D522" s="3" t="s">
        <v>31</v>
      </c>
      <c r="E522" s="4" t="s">
        <v>26</v>
      </c>
      <c r="F522" s="4" t="s">
        <v>61</v>
      </c>
      <c r="G522" s="4">
        <v>15</v>
      </c>
      <c r="H522" s="4">
        <v>276</v>
      </c>
      <c r="I522" s="4">
        <v>4140</v>
      </c>
      <c r="J522" s="4">
        <f>Table1[[#This Row],[Total Sale]]*0.2</f>
        <v>828</v>
      </c>
      <c r="K522" s="4" t="s">
        <v>7</v>
      </c>
    </row>
    <row r="523" spans="3:11" x14ac:dyDescent="0.3">
      <c r="C523" s="3">
        <v>45650</v>
      </c>
      <c r="D523" s="3" t="s">
        <v>32</v>
      </c>
      <c r="E523" s="4" t="s">
        <v>25</v>
      </c>
      <c r="F523" s="4" t="s">
        <v>63</v>
      </c>
      <c r="G523" s="4">
        <v>24</v>
      </c>
      <c r="H523" s="4">
        <v>406</v>
      </c>
      <c r="I523" s="4">
        <v>9744</v>
      </c>
      <c r="J523" s="4">
        <f>Table1[[#This Row],[Total Sale]]*0.2</f>
        <v>1948.8000000000002</v>
      </c>
      <c r="K523" s="4" t="s">
        <v>24</v>
      </c>
    </row>
    <row r="524" spans="3:11" x14ac:dyDescent="0.3">
      <c r="C524" s="3">
        <v>45650</v>
      </c>
      <c r="D524" s="3" t="s">
        <v>50</v>
      </c>
      <c r="E524" s="4" t="s">
        <v>16</v>
      </c>
      <c r="F524" s="4" t="s">
        <v>58</v>
      </c>
      <c r="G524" s="4">
        <v>44</v>
      </c>
      <c r="H524" s="4">
        <v>214</v>
      </c>
      <c r="I524" s="4">
        <v>9416</v>
      </c>
      <c r="J524" s="4">
        <f>Table1[[#This Row],[Total Sale]]*0.2</f>
        <v>1883.2</v>
      </c>
      <c r="K524" s="4" t="s">
        <v>21</v>
      </c>
    </row>
    <row r="525" spans="3:11" x14ac:dyDescent="0.3">
      <c r="C525" s="3">
        <v>45649</v>
      </c>
      <c r="D525" s="3" t="s">
        <v>44</v>
      </c>
      <c r="E525" s="4" t="s">
        <v>10</v>
      </c>
      <c r="F525" s="4" t="s">
        <v>58</v>
      </c>
      <c r="G525" s="4">
        <v>41</v>
      </c>
      <c r="H525" s="4">
        <v>204</v>
      </c>
      <c r="I525" s="4">
        <v>8364</v>
      </c>
      <c r="J525" s="4">
        <f>Table1[[#This Row],[Total Sale]]*0.2</f>
        <v>1672.8000000000002</v>
      </c>
      <c r="K525" s="4" t="s">
        <v>23</v>
      </c>
    </row>
    <row r="526" spans="3:11" x14ac:dyDescent="0.3">
      <c r="C526" s="3">
        <v>45647</v>
      </c>
      <c r="D526" s="3" t="s">
        <v>42</v>
      </c>
      <c r="E526" s="4" t="s">
        <v>26</v>
      </c>
      <c r="F526" s="4" t="s">
        <v>57</v>
      </c>
      <c r="G526" s="4">
        <v>18</v>
      </c>
      <c r="H526" s="4">
        <v>366</v>
      </c>
      <c r="I526" s="4">
        <v>6588</v>
      </c>
      <c r="J526" s="4">
        <f>Table1[[#This Row],[Total Sale]]*0.2</f>
        <v>1317.6000000000001</v>
      </c>
      <c r="K526" s="4" t="s">
        <v>9</v>
      </c>
    </row>
    <row r="527" spans="3:11" x14ac:dyDescent="0.3">
      <c r="C527" s="3">
        <v>45646</v>
      </c>
      <c r="D527" s="3" t="s">
        <v>38</v>
      </c>
      <c r="E527" s="4" t="s">
        <v>11</v>
      </c>
      <c r="F527" s="4" t="s">
        <v>70</v>
      </c>
      <c r="G527" s="4">
        <v>31</v>
      </c>
      <c r="H527" s="4">
        <v>405</v>
      </c>
      <c r="I527" s="4">
        <v>12555</v>
      </c>
      <c r="J527" s="4">
        <f>Table1[[#This Row],[Total Sale]]*0.2</f>
        <v>2511</v>
      </c>
      <c r="K527" s="4" t="s">
        <v>15</v>
      </c>
    </row>
    <row r="528" spans="3:11" x14ac:dyDescent="0.3">
      <c r="C528" s="3">
        <v>45645</v>
      </c>
      <c r="D528" s="3" t="s">
        <v>42</v>
      </c>
      <c r="E528" s="4" t="s">
        <v>27</v>
      </c>
      <c r="F528" s="4" t="s">
        <v>57</v>
      </c>
      <c r="G528" s="4">
        <v>19</v>
      </c>
      <c r="H528" s="4">
        <v>297</v>
      </c>
      <c r="I528" s="4">
        <v>5643</v>
      </c>
      <c r="J528" s="4">
        <f>Table1[[#This Row],[Total Sale]]*0.2</f>
        <v>1128.6000000000001</v>
      </c>
      <c r="K528" s="4" t="s">
        <v>12</v>
      </c>
    </row>
    <row r="529" spans="3:11" x14ac:dyDescent="0.3">
      <c r="C529" s="3">
        <v>45644</v>
      </c>
      <c r="D529" s="3" t="s">
        <v>32</v>
      </c>
      <c r="E529" s="4" t="s">
        <v>25</v>
      </c>
      <c r="F529" s="4" t="s">
        <v>56</v>
      </c>
      <c r="G529" s="4">
        <v>45</v>
      </c>
      <c r="H529" s="4">
        <v>364</v>
      </c>
      <c r="I529" s="4">
        <v>16380</v>
      </c>
      <c r="J529" s="4">
        <f>Table1[[#This Row],[Total Sale]]*0.2</f>
        <v>3276</v>
      </c>
      <c r="K529" s="4" t="s">
        <v>19</v>
      </c>
    </row>
    <row r="530" spans="3:11" x14ac:dyDescent="0.3">
      <c r="C530" s="3">
        <v>45644</v>
      </c>
      <c r="D530" s="3" t="s">
        <v>31</v>
      </c>
      <c r="E530" s="4" t="s">
        <v>11</v>
      </c>
      <c r="F530" s="4" t="s">
        <v>59</v>
      </c>
      <c r="G530" s="4">
        <v>49</v>
      </c>
      <c r="H530" s="4">
        <v>475</v>
      </c>
      <c r="I530" s="4">
        <v>23275</v>
      </c>
      <c r="J530" s="4">
        <f>Table1[[#This Row],[Total Sale]]*0.2</f>
        <v>4655</v>
      </c>
      <c r="K530" s="4" t="s">
        <v>12</v>
      </c>
    </row>
    <row r="531" spans="3:11" x14ac:dyDescent="0.3">
      <c r="C531" s="3">
        <v>45641</v>
      </c>
      <c r="D531" s="3" t="s">
        <v>47</v>
      </c>
      <c r="E531" s="4" t="s">
        <v>26</v>
      </c>
      <c r="F531" s="4" t="s">
        <v>61</v>
      </c>
      <c r="G531" s="4">
        <v>44</v>
      </c>
      <c r="H531" s="4">
        <v>478</v>
      </c>
      <c r="I531" s="4">
        <v>21032</v>
      </c>
      <c r="J531" s="4">
        <f>Table1[[#This Row],[Total Sale]]*0.2</f>
        <v>4206.4000000000005</v>
      </c>
      <c r="K531" s="4" t="s">
        <v>14</v>
      </c>
    </row>
    <row r="532" spans="3:11" x14ac:dyDescent="0.3">
      <c r="C532" s="3">
        <v>45641</v>
      </c>
      <c r="D532" s="3" t="s">
        <v>48</v>
      </c>
      <c r="E532" s="4" t="s">
        <v>18</v>
      </c>
      <c r="F532" s="4" t="s">
        <v>64</v>
      </c>
      <c r="G532" s="4">
        <v>38</v>
      </c>
      <c r="H532" s="4">
        <v>315</v>
      </c>
      <c r="I532" s="4">
        <v>11970</v>
      </c>
      <c r="J532" s="4">
        <f>Table1[[#This Row],[Total Sale]]*0.2</f>
        <v>2394</v>
      </c>
      <c r="K532" s="4" t="s">
        <v>7</v>
      </c>
    </row>
    <row r="533" spans="3:11" x14ac:dyDescent="0.3">
      <c r="C533" s="3">
        <v>45640</v>
      </c>
      <c r="D533" s="3" t="s">
        <v>38</v>
      </c>
      <c r="E533" s="4" t="s">
        <v>11</v>
      </c>
      <c r="F533" s="4" t="s">
        <v>68</v>
      </c>
      <c r="G533" s="4">
        <v>33</v>
      </c>
      <c r="H533" s="4">
        <v>364</v>
      </c>
      <c r="I533" s="4">
        <v>12012</v>
      </c>
      <c r="J533" s="4">
        <f>Table1[[#This Row],[Total Sale]]*0.2</f>
        <v>2402.4</v>
      </c>
      <c r="K533" s="4" t="s">
        <v>21</v>
      </c>
    </row>
    <row r="534" spans="3:11" x14ac:dyDescent="0.3">
      <c r="C534" s="3">
        <v>45640</v>
      </c>
      <c r="D534" s="3" t="s">
        <v>48</v>
      </c>
      <c r="E534" s="4" t="s">
        <v>6</v>
      </c>
      <c r="F534" s="4" t="s">
        <v>58</v>
      </c>
      <c r="G534" s="4">
        <v>37</v>
      </c>
      <c r="H534" s="4">
        <v>228</v>
      </c>
      <c r="I534" s="4">
        <v>8436</v>
      </c>
      <c r="J534" s="4">
        <f>Table1[[#This Row],[Total Sale]]*0.2</f>
        <v>1687.2</v>
      </c>
      <c r="K534" s="4" t="s">
        <v>12</v>
      </c>
    </row>
    <row r="535" spans="3:11" x14ac:dyDescent="0.3">
      <c r="C535" s="3">
        <v>45637</v>
      </c>
      <c r="D535" s="3" t="s">
        <v>42</v>
      </c>
      <c r="E535" s="4" t="s">
        <v>10</v>
      </c>
      <c r="F535" s="4" t="s">
        <v>52</v>
      </c>
      <c r="G535" s="4">
        <v>21</v>
      </c>
      <c r="H535" s="4">
        <v>377</v>
      </c>
      <c r="I535" s="4">
        <v>7917</v>
      </c>
      <c r="J535" s="4">
        <f>Table1[[#This Row],[Total Sale]]*0.2</f>
        <v>1583.4</v>
      </c>
      <c r="K535" s="4" t="s">
        <v>9</v>
      </c>
    </row>
    <row r="536" spans="3:11" x14ac:dyDescent="0.3">
      <c r="C536" s="3">
        <v>45636</v>
      </c>
      <c r="D536" s="3" t="s">
        <v>50</v>
      </c>
      <c r="E536" s="4" t="s">
        <v>10</v>
      </c>
      <c r="F536" s="4" t="s">
        <v>69</v>
      </c>
      <c r="G536" s="4">
        <v>48</v>
      </c>
      <c r="H536" s="4">
        <v>209</v>
      </c>
      <c r="I536" s="4">
        <v>10032</v>
      </c>
      <c r="J536" s="4">
        <f>Table1[[#This Row],[Total Sale]]*0.2</f>
        <v>2006.4</v>
      </c>
      <c r="K536" s="4" t="s">
        <v>14</v>
      </c>
    </row>
    <row r="537" spans="3:11" x14ac:dyDescent="0.3">
      <c r="C537" s="3">
        <v>45635</v>
      </c>
      <c r="D537" s="3" t="s">
        <v>48</v>
      </c>
      <c r="E537" s="4" t="s">
        <v>11</v>
      </c>
      <c r="F537" s="4" t="s">
        <v>53</v>
      </c>
      <c r="G537" s="4">
        <v>39</v>
      </c>
      <c r="H537" s="4">
        <v>481</v>
      </c>
      <c r="I537" s="4">
        <v>18759</v>
      </c>
      <c r="J537" s="4">
        <f>Table1[[#This Row],[Total Sale]]*0.2</f>
        <v>3751.8</v>
      </c>
      <c r="K537" s="4" t="s">
        <v>23</v>
      </c>
    </row>
    <row r="538" spans="3:11" x14ac:dyDescent="0.3">
      <c r="C538" s="3">
        <v>45635</v>
      </c>
      <c r="D538" s="3" t="s">
        <v>38</v>
      </c>
      <c r="E538" s="4" t="s">
        <v>11</v>
      </c>
      <c r="F538" s="4" t="s">
        <v>67</v>
      </c>
      <c r="G538" s="4">
        <v>11</v>
      </c>
      <c r="H538" s="4">
        <v>286</v>
      </c>
      <c r="I538" s="4">
        <v>3146</v>
      </c>
      <c r="J538" s="4">
        <f>Table1[[#This Row],[Total Sale]]*0.2</f>
        <v>629.20000000000005</v>
      </c>
      <c r="K538" s="4" t="s">
        <v>28</v>
      </c>
    </row>
    <row r="539" spans="3:11" x14ac:dyDescent="0.3">
      <c r="C539" s="3">
        <v>45634</v>
      </c>
      <c r="D539" s="3" t="s">
        <v>49</v>
      </c>
      <c r="E539" s="4" t="s">
        <v>10</v>
      </c>
      <c r="F539" s="4" t="s">
        <v>64</v>
      </c>
      <c r="G539" s="4">
        <v>17</v>
      </c>
      <c r="H539" s="4">
        <v>208</v>
      </c>
      <c r="I539" s="4">
        <v>3536</v>
      </c>
      <c r="J539" s="4">
        <f>Table1[[#This Row],[Total Sale]]*0.2</f>
        <v>707.2</v>
      </c>
      <c r="K539" s="4" t="s">
        <v>23</v>
      </c>
    </row>
    <row r="540" spans="3:11" x14ac:dyDescent="0.3">
      <c r="C540" s="3">
        <v>45633</v>
      </c>
      <c r="D540" s="3" t="s">
        <v>50</v>
      </c>
      <c r="E540" s="4" t="s">
        <v>11</v>
      </c>
      <c r="F540" s="4" t="s">
        <v>69</v>
      </c>
      <c r="G540" s="4">
        <v>16</v>
      </c>
      <c r="H540" s="4">
        <v>415</v>
      </c>
      <c r="I540" s="4">
        <v>6640</v>
      </c>
      <c r="J540" s="4">
        <f>Table1[[#This Row],[Total Sale]]*0.2</f>
        <v>1328</v>
      </c>
      <c r="K540" s="4" t="s">
        <v>12</v>
      </c>
    </row>
    <row r="541" spans="3:11" x14ac:dyDescent="0.3">
      <c r="C541" s="3">
        <v>45633</v>
      </c>
      <c r="D541" s="3" t="s">
        <v>44</v>
      </c>
      <c r="E541" s="4" t="s">
        <v>29</v>
      </c>
      <c r="F541" s="4" t="s">
        <v>61</v>
      </c>
      <c r="G541" s="4">
        <v>49</v>
      </c>
      <c r="H541" s="4">
        <v>287</v>
      </c>
      <c r="I541" s="4">
        <v>14063</v>
      </c>
      <c r="J541" s="4">
        <f>Table1[[#This Row],[Total Sale]]*0.2</f>
        <v>2812.6000000000004</v>
      </c>
      <c r="K541" s="4" t="s">
        <v>20</v>
      </c>
    </row>
    <row r="542" spans="3:11" x14ac:dyDescent="0.3">
      <c r="C542" s="3">
        <v>45632</v>
      </c>
      <c r="D542" s="3" t="s">
        <v>33</v>
      </c>
      <c r="E542" s="4" t="s">
        <v>27</v>
      </c>
      <c r="F542" s="4" t="s">
        <v>54</v>
      </c>
      <c r="G542" s="4">
        <v>44</v>
      </c>
      <c r="H542" s="4">
        <v>412</v>
      </c>
      <c r="I542" s="4">
        <v>18128</v>
      </c>
      <c r="J542" s="4">
        <f>Table1[[#This Row],[Total Sale]]*0.2</f>
        <v>3625.6000000000004</v>
      </c>
      <c r="K542" s="4" t="s">
        <v>22</v>
      </c>
    </row>
    <row r="543" spans="3:11" x14ac:dyDescent="0.3">
      <c r="C543" s="3">
        <v>45632</v>
      </c>
      <c r="D543" s="3" t="s">
        <v>39</v>
      </c>
      <c r="E543" s="4" t="s">
        <v>27</v>
      </c>
      <c r="F543" s="4" t="s">
        <v>67</v>
      </c>
      <c r="G543" s="4">
        <v>31</v>
      </c>
      <c r="H543" s="4">
        <v>325</v>
      </c>
      <c r="I543" s="4">
        <v>10075</v>
      </c>
      <c r="J543" s="4">
        <f>Table1[[#This Row],[Total Sale]]*0.2</f>
        <v>2015</v>
      </c>
      <c r="K543" s="4" t="s">
        <v>19</v>
      </c>
    </row>
    <row r="544" spans="3:11" x14ac:dyDescent="0.3">
      <c r="C544" s="3">
        <v>45631</v>
      </c>
      <c r="D544" s="3" t="s">
        <v>38</v>
      </c>
      <c r="E544" s="4" t="s">
        <v>27</v>
      </c>
      <c r="F544" s="4" t="s">
        <v>60</v>
      </c>
      <c r="G544" s="4">
        <v>38</v>
      </c>
      <c r="H544" s="4">
        <v>232</v>
      </c>
      <c r="I544" s="4">
        <v>8816</v>
      </c>
      <c r="J544" s="4">
        <f>Table1[[#This Row],[Total Sale]]*0.2</f>
        <v>1763.2</v>
      </c>
      <c r="K544" s="4" t="s">
        <v>8</v>
      </c>
    </row>
    <row r="545" spans="3:11" x14ac:dyDescent="0.3">
      <c r="C545" s="3">
        <v>45631</v>
      </c>
      <c r="D545" s="3" t="s">
        <v>46</v>
      </c>
      <c r="E545" s="4" t="s">
        <v>16</v>
      </c>
      <c r="F545" s="4" t="s">
        <v>62</v>
      </c>
      <c r="G545" s="4">
        <v>42</v>
      </c>
      <c r="H545" s="4">
        <v>410</v>
      </c>
      <c r="I545" s="4">
        <v>17220</v>
      </c>
      <c r="J545" s="4">
        <f>Table1[[#This Row],[Total Sale]]*0.2</f>
        <v>3444</v>
      </c>
      <c r="K545" s="4" t="s">
        <v>28</v>
      </c>
    </row>
    <row r="546" spans="3:11" x14ac:dyDescent="0.3">
      <c r="C546" s="3">
        <v>45630</v>
      </c>
      <c r="D546" s="3" t="s">
        <v>50</v>
      </c>
      <c r="E546" s="4" t="s">
        <v>13</v>
      </c>
      <c r="F546" s="4" t="s">
        <v>52</v>
      </c>
      <c r="G546" s="4">
        <v>19</v>
      </c>
      <c r="H546" s="4">
        <v>224</v>
      </c>
      <c r="I546" s="4">
        <v>4256</v>
      </c>
      <c r="J546" s="4">
        <f>Table1[[#This Row],[Total Sale]]*0.2</f>
        <v>851.2</v>
      </c>
      <c r="K546" s="4" t="s">
        <v>20</v>
      </c>
    </row>
    <row r="547" spans="3:11" x14ac:dyDescent="0.3">
      <c r="C547" s="3">
        <v>45630</v>
      </c>
      <c r="D547" s="3" t="s">
        <v>36</v>
      </c>
      <c r="E547" s="4" t="s">
        <v>6</v>
      </c>
      <c r="F547" s="4" t="s">
        <v>67</v>
      </c>
      <c r="G547" s="4">
        <v>25</v>
      </c>
      <c r="H547" s="4">
        <v>490</v>
      </c>
      <c r="I547" s="4">
        <v>12250</v>
      </c>
      <c r="J547" s="4">
        <f>Table1[[#This Row],[Total Sale]]*0.2</f>
        <v>2450</v>
      </c>
      <c r="K547" s="4" t="s">
        <v>24</v>
      </c>
    </row>
    <row r="548" spans="3:11" x14ac:dyDescent="0.3">
      <c r="C548" s="3">
        <v>45629</v>
      </c>
      <c r="D548" s="3" t="s">
        <v>38</v>
      </c>
      <c r="E548" s="4" t="s">
        <v>25</v>
      </c>
      <c r="F548" s="4" t="s">
        <v>62</v>
      </c>
      <c r="G548" s="4">
        <v>39</v>
      </c>
      <c r="H548" s="4">
        <v>431</v>
      </c>
      <c r="I548" s="4">
        <v>16809</v>
      </c>
      <c r="J548" s="4">
        <f>Table1[[#This Row],[Total Sale]]*0.2</f>
        <v>3361.8</v>
      </c>
      <c r="K548" s="4" t="s">
        <v>22</v>
      </c>
    </row>
    <row r="549" spans="3:11" x14ac:dyDescent="0.3">
      <c r="C549" s="3">
        <v>45628</v>
      </c>
      <c r="D549" s="3" t="s">
        <v>44</v>
      </c>
      <c r="E549" s="4" t="s">
        <v>25</v>
      </c>
      <c r="F549" s="4" t="s">
        <v>54</v>
      </c>
      <c r="G549" s="4">
        <v>29</v>
      </c>
      <c r="H549" s="4">
        <v>351</v>
      </c>
      <c r="I549" s="4">
        <v>10179</v>
      </c>
      <c r="J549" s="4">
        <f>Table1[[#This Row],[Total Sale]]*0.2</f>
        <v>2035.8000000000002</v>
      </c>
      <c r="K549" s="4" t="s">
        <v>15</v>
      </c>
    </row>
    <row r="550" spans="3:11" x14ac:dyDescent="0.3">
      <c r="C550" s="3">
        <v>45628</v>
      </c>
      <c r="D550" s="3" t="s">
        <v>39</v>
      </c>
      <c r="E550" s="4" t="s">
        <v>13</v>
      </c>
      <c r="F550" s="4" t="s">
        <v>62</v>
      </c>
      <c r="G550" s="4">
        <v>13</v>
      </c>
      <c r="H550" s="4">
        <v>337</v>
      </c>
      <c r="I550" s="4">
        <v>4381</v>
      </c>
      <c r="J550" s="4">
        <f>Table1[[#This Row],[Total Sale]]*0.2</f>
        <v>876.2</v>
      </c>
      <c r="K550" s="4" t="s">
        <v>20</v>
      </c>
    </row>
    <row r="551" spans="3:11" x14ac:dyDescent="0.3">
      <c r="C551" s="3">
        <v>45628</v>
      </c>
      <c r="D551" s="3" t="s">
        <v>39</v>
      </c>
      <c r="E551" s="4" t="s">
        <v>13</v>
      </c>
      <c r="F551" s="4" t="s">
        <v>60</v>
      </c>
      <c r="G551" s="4">
        <v>19</v>
      </c>
      <c r="H551" s="4">
        <v>307</v>
      </c>
      <c r="I551" s="4">
        <v>5833</v>
      </c>
      <c r="J551" s="4">
        <f>Table1[[#This Row],[Total Sale]]*0.2</f>
        <v>1166.6000000000001</v>
      </c>
      <c r="K551" s="4" t="s">
        <v>9</v>
      </c>
    </row>
    <row r="552" spans="3:11" x14ac:dyDescent="0.3">
      <c r="C552" s="3">
        <v>45627</v>
      </c>
      <c r="D552" s="3" t="s">
        <v>49</v>
      </c>
      <c r="E552" s="4" t="s">
        <v>16</v>
      </c>
      <c r="F552" s="4" t="s">
        <v>58</v>
      </c>
      <c r="G552" s="4">
        <v>39</v>
      </c>
      <c r="H552" s="4">
        <v>212</v>
      </c>
      <c r="I552" s="4">
        <v>8268</v>
      </c>
      <c r="J552" s="4">
        <f>Table1[[#This Row],[Total Sale]]*0.2</f>
        <v>1653.6000000000001</v>
      </c>
      <c r="K552" s="4" t="s">
        <v>24</v>
      </c>
    </row>
    <row r="553" spans="3:11" x14ac:dyDescent="0.3">
      <c r="C553" s="3">
        <v>45626</v>
      </c>
      <c r="D553" s="3" t="s">
        <v>44</v>
      </c>
      <c r="E553" s="4" t="s">
        <v>16</v>
      </c>
      <c r="F553" s="4" t="s">
        <v>62</v>
      </c>
      <c r="G553" s="4">
        <v>34</v>
      </c>
      <c r="H553" s="4">
        <v>206</v>
      </c>
      <c r="I553" s="4">
        <v>7004</v>
      </c>
      <c r="J553" s="4">
        <f>Table1[[#This Row],[Total Sale]]*0.2</f>
        <v>1400.8000000000002</v>
      </c>
      <c r="K553" s="4" t="s">
        <v>8</v>
      </c>
    </row>
    <row r="554" spans="3:11" x14ac:dyDescent="0.3">
      <c r="C554" s="3">
        <v>45625</v>
      </c>
      <c r="D554" s="3" t="s">
        <v>46</v>
      </c>
      <c r="E554" s="4" t="s">
        <v>25</v>
      </c>
      <c r="F554" s="4" t="s">
        <v>61</v>
      </c>
      <c r="G554" s="4">
        <v>28</v>
      </c>
      <c r="H554" s="4">
        <v>367</v>
      </c>
      <c r="I554" s="4">
        <v>10276</v>
      </c>
      <c r="J554" s="4">
        <f>Table1[[#This Row],[Total Sale]]*0.2</f>
        <v>2055.2000000000003</v>
      </c>
      <c r="K554" s="4" t="s">
        <v>28</v>
      </c>
    </row>
    <row r="555" spans="3:11" x14ac:dyDescent="0.3">
      <c r="C555" s="3">
        <v>45624</v>
      </c>
      <c r="D555" s="3" t="s">
        <v>44</v>
      </c>
      <c r="E555" s="4" t="s">
        <v>18</v>
      </c>
      <c r="F555" s="4" t="s">
        <v>68</v>
      </c>
      <c r="G555" s="4">
        <v>10</v>
      </c>
      <c r="H555" s="4">
        <v>366</v>
      </c>
      <c r="I555" s="4">
        <v>3660</v>
      </c>
      <c r="J555" s="4">
        <f>Table1[[#This Row],[Total Sale]]*0.2</f>
        <v>732</v>
      </c>
      <c r="K555" s="4" t="s">
        <v>19</v>
      </c>
    </row>
    <row r="556" spans="3:11" x14ac:dyDescent="0.3">
      <c r="C556" s="3">
        <v>45624</v>
      </c>
      <c r="D556" s="3" t="s">
        <v>36</v>
      </c>
      <c r="E556" s="4" t="s">
        <v>16</v>
      </c>
      <c r="F556" s="4" t="s">
        <v>58</v>
      </c>
      <c r="G556" s="4">
        <v>33</v>
      </c>
      <c r="H556" s="4">
        <v>270</v>
      </c>
      <c r="I556" s="4">
        <v>8910</v>
      </c>
      <c r="J556" s="4">
        <f>Table1[[#This Row],[Total Sale]]*0.2</f>
        <v>1782</v>
      </c>
      <c r="K556" s="4" t="s">
        <v>12</v>
      </c>
    </row>
    <row r="557" spans="3:11" x14ac:dyDescent="0.3">
      <c r="C557" s="3">
        <v>45623</v>
      </c>
      <c r="D557" s="3" t="s">
        <v>32</v>
      </c>
      <c r="E557" s="4" t="s">
        <v>11</v>
      </c>
      <c r="F557" s="4" t="s">
        <v>63</v>
      </c>
      <c r="G557" s="4">
        <v>15</v>
      </c>
      <c r="H557" s="4">
        <v>280</v>
      </c>
      <c r="I557" s="4">
        <v>4200</v>
      </c>
      <c r="J557" s="4">
        <f>Table1[[#This Row],[Total Sale]]*0.2</f>
        <v>840</v>
      </c>
      <c r="K557" s="4" t="s">
        <v>28</v>
      </c>
    </row>
    <row r="558" spans="3:11" x14ac:dyDescent="0.3">
      <c r="C558" s="3">
        <v>45622</v>
      </c>
      <c r="D558" s="3" t="s">
        <v>50</v>
      </c>
      <c r="E558" s="4" t="s">
        <v>13</v>
      </c>
      <c r="F558" s="4" t="s">
        <v>63</v>
      </c>
      <c r="G558" s="4">
        <v>45</v>
      </c>
      <c r="H558" s="4">
        <v>415</v>
      </c>
      <c r="I558" s="4">
        <v>18675</v>
      </c>
      <c r="J558" s="4">
        <f>Table1[[#This Row],[Total Sale]]*0.2</f>
        <v>3735</v>
      </c>
      <c r="K558" s="4" t="s">
        <v>14</v>
      </c>
    </row>
    <row r="559" spans="3:11" x14ac:dyDescent="0.3">
      <c r="C559" s="3">
        <v>45622</v>
      </c>
      <c r="D559" s="3" t="s">
        <v>41</v>
      </c>
      <c r="E559" s="4" t="s">
        <v>18</v>
      </c>
      <c r="F559" s="4" t="s">
        <v>65</v>
      </c>
      <c r="G559" s="4">
        <v>47</v>
      </c>
      <c r="H559" s="4">
        <v>490</v>
      </c>
      <c r="I559" s="4">
        <v>23030</v>
      </c>
      <c r="J559" s="4">
        <f>Table1[[#This Row],[Total Sale]]*0.2</f>
        <v>4606</v>
      </c>
      <c r="K559" s="4" t="s">
        <v>22</v>
      </c>
    </row>
    <row r="560" spans="3:11" x14ac:dyDescent="0.3">
      <c r="C560" s="3">
        <v>45621</v>
      </c>
      <c r="D560" s="3" t="s">
        <v>39</v>
      </c>
      <c r="E560" s="4" t="s">
        <v>26</v>
      </c>
      <c r="F560" s="4" t="s">
        <v>64</v>
      </c>
      <c r="G560" s="4">
        <v>14</v>
      </c>
      <c r="H560" s="4">
        <v>423</v>
      </c>
      <c r="I560" s="4">
        <v>5922</v>
      </c>
      <c r="J560" s="4">
        <f>Table1[[#This Row],[Total Sale]]*0.2</f>
        <v>1184.4000000000001</v>
      </c>
      <c r="K560" s="4" t="s">
        <v>20</v>
      </c>
    </row>
    <row r="561" spans="3:11" x14ac:dyDescent="0.3">
      <c r="C561" s="3">
        <v>45621</v>
      </c>
      <c r="D561" s="3" t="s">
        <v>40</v>
      </c>
      <c r="E561" s="4" t="s">
        <v>26</v>
      </c>
      <c r="F561" s="4" t="s">
        <v>61</v>
      </c>
      <c r="G561" s="4">
        <v>20</v>
      </c>
      <c r="H561" s="4">
        <v>264</v>
      </c>
      <c r="I561" s="4">
        <v>5280</v>
      </c>
      <c r="J561" s="4">
        <f>Table1[[#This Row],[Total Sale]]*0.2</f>
        <v>1056</v>
      </c>
      <c r="K561" s="4" t="s">
        <v>9</v>
      </c>
    </row>
    <row r="562" spans="3:11" x14ac:dyDescent="0.3">
      <c r="C562" s="3">
        <v>45620</v>
      </c>
      <c r="D562" s="3" t="s">
        <v>31</v>
      </c>
      <c r="E562" s="4" t="s">
        <v>29</v>
      </c>
      <c r="F562" s="4" t="s">
        <v>61</v>
      </c>
      <c r="G562" s="4">
        <v>46</v>
      </c>
      <c r="H562" s="4">
        <v>234</v>
      </c>
      <c r="I562" s="4">
        <v>10764</v>
      </c>
      <c r="J562" s="4">
        <f>Table1[[#This Row],[Total Sale]]*0.2</f>
        <v>2152.8000000000002</v>
      </c>
      <c r="K562" s="4" t="s">
        <v>22</v>
      </c>
    </row>
    <row r="563" spans="3:11" x14ac:dyDescent="0.3">
      <c r="C563" s="3">
        <v>45619</v>
      </c>
      <c r="D563" s="3" t="s">
        <v>38</v>
      </c>
      <c r="E563" s="4" t="s">
        <v>11</v>
      </c>
      <c r="F563" s="4" t="s">
        <v>57</v>
      </c>
      <c r="G563" s="4">
        <v>40</v>
      </c>
      <c r="H563" s="4">
        <v>402</v>
      </c>
      <c r="I563" s="4">
        <v>16080</v>
      </c>
      <c r="J563" s="4">
        <f>Table1[[#This Row],[Total Sale]]*0.2</f>
        <v>3216</v>
      </c>
      <c r="K563" s="4" t="s">
        <v>19</v>
      </c>
    </row>
    <row r="564" spans="3:11" x14ac:dyDescent="0.3">
      <c r="C564" s="3">
        <v>45618</v>
      </c>
      <c r="D564" s="3" t="s">
        <v>40</v>
      </c>
      <c r="E564" s="4" t="s">
        <v>26</v>
      </c>
      <c r="F564" s="4" t="s">
        <v>60</v>
      </c>
      <c r="G564" s="4">
        <v>30</v>
      </c>
      <c r="H564" s="4">
        <v>493</v>
      </c>
      <c r="I564" s="4">
        <v>14790</v>
      </c>
      <c r="J564" s="4">
        <f>Table1[[#This Row],[Total Sale]]*0.2</f>
        <v>2958</v>
      </c>
      <c r="K564" s="4" t="s">
        <v>8</v>
      </c>
    </row>
    <row r="565" spans="3:11" x14ac:dyDescent="0.3">
      <c r="C565" s="3">
        <v>45616</v>
      </c>
      <c r="D565" s="3" t="s">
        <v>46</v>
      </c>
      <c r="E565" s="4" t="s">
        <v>26</v>
      </c>
      <c r="F565" s="4" t="s">
        <v>61</v>
      </c>
      <c r="G565" s="4">
        <v>48</v>
      </c>
      <c r="H565" s="4">
        <v>391</v>
      </c>
      <c r="I565" s="4">
        <v>18768</v>
      </c>
      <c r="J565" s="4">
        <f>Table1[[#This Row],[Total Sale]]*0.2</f>
        <v>3753.6000000000004</v>
      </c>
      <c r="K565" s="4" t="s">
        <v>8</v>
      </c>
    </row>
    <row r="566" spans="3:11" x14ac:dyDescent="0.3">
      <c r="C566" s="3">
        <v>45615</v>
      </c>
      <c r="D566" s="3" t="s">
        <v>45</v>
      </c>
      <c r="E566" s="4" t="s">
        <v>11</v>
      </c>
      <c r="F566" s="4" t="s">
        <v>57</v>
      </c>
      <c r="G566" s="4">
        <v>48</v>
      </c>
      <c r="H566" s="4">
        <v>389</v>
      </c>
      <c r="I566" s="4">
        <v>18672</v>
      </c>
      <c r="J566" s="4">
        <f>Table1[[#This Row],[Total Sale]]*0.2</f>
        <v>3734.4</v>
      </c>
      <c r="K566" s="4" t="s">
        <v>12</v>
      </c>
    </row>
    <row r="567" spans="3:11" x14ac:dyDescent="0.3">
      <c r="C567" s="3">
        <v>45615</v>
      </c>
      <c r="D567" s="3" t="s">
        <v>38</v>
      </c>
      <c r="E567" s="4" t="s">
        <v>11</v>
      </c>
      <c r="F567" s="4" t="s">
        <v>59</v>
      </c>
      <c r="G567" s="4">
        <v>17</v>
      </c>
      <c r="H567" s="4">
        <v>378</v>
      </c>
      <c r="I567" s="4">
        <v>6426</v>
      </c>
      <c r="J567" s="4">
        <f>Table1[[#This Row],[Total Sale]]*0.2</f>
        <v>1285.2</v>
      </c>
      <c r="K567" s="4" t="s">
        <v>17</v>
      </c>
    </row>
    <row r="568" spans="3:11" x14ac:dyDescent="0.3">
      <c r="C568" s="3">
        <v>45615</v>
      </c>
      <c r="D568" s="3" t="s">
        <v>37</v>
      </c>
      <c r="E568" s="4" t="s">
        <v>16</v>
      </c>
      <c r="F568" s="4" t="s">
        <v>58</v>
      </c>
      <c r="G568" s="4">
        <v>16</v>
      </c>
      <c r="H568" s="4">
        <v>472</v>
      </c>
      <c r="I568" s="4">
        <v>7552</v>
      </c>
      <c r="J568" s="4">
        <f>Table1[[#This Row],[Total Sale]]*0.2</f>
        <v>1510.4</v>
      </c>
      <c r="K568" s="4" t="s">
        <v>22</v>
      </c>
    </row>
    <row r="569" spans="3:11" x14ac:dyDescent="0.3">
      <c r="C569" s="3">
        <v>45614</v>
      </c>
      <c r="D569" s="3" t="s">
        <v>45</v>
      </c>
      <c r="E569" s="4" t="s">
        <v>26</v>
      </c>
      <c r="F569" s="4" t="s">
        <v>52</v>
      </c>
      <c r="G569" s="4">
        <v>42</v>
      </c>
      <c r="H569" s="4">
        <v>446</v>
      </c>
      <c r="I569" s="4">
        <v>18732</v>
      </c>
      <c r="J569" s="4">
        <f>Table1[[#This Row],[Total Sale]]*0.2</f>
        <v>3746.4</v>
      </c>
      <c r="K569" s="4" t="s">
        <v>15</v>
      </c>
    </row>
    <row r="570" spans="3:11" x14ac:dyDescent="0.3">
      <c r="C570" s="3">
        <v>45614</v>
      </c>
      <c r="D570" s="3" t="s">
        <v>34</v>
      </c>
      <c r="E570" s="4" t="s">
        <v>29</v>
      </c>
      <c r="F570" s="4" t="s">
        <v>58</v>
      </c>
      <c r="G570" s="4">
        <v>34</v>
      </c>
      <c r="H570" s="4">
        <v>281</v>
      </c>
      <c r="I570" s="4">
        <v>9554</v>
      </c>
      <c r="J570" s="4">
        <f>Table1[[#This Row],[Total Sale]]*0.2</f>
        <v>1910.8000000000002</v>
      </c>
      <c r="K570" s="4" t="s">
        <v>21</v>
      </c>
    </row>
    <row r="571" spans="3:11" x14ac:dyDescent="0.3">
      <c r="C571" s="3">
        <v>45612</v>
      </c>
      <c r="D571" s="3" t="s">
        <v>39</v>
      </c>
      <c r="E571" s="4" t="s">
        <v>10</v>
      </c>
      <c r="F571" s="4" t="s">
        <v>57</v>
      </c>
      <c r="G571" s="4">
        <v>12</v>
      </c>
      <c r="H571" s="4">
        <v>387</v>
      </c>
      <c r="I571" s="4">
        <v>4644</v>
      </c>
      <c r="J571" s="4">
        <f>Table1[[#This Row],[Total Sale]]*0.2</f>
        <v>928.80000000000007</v>
      </c>
      <c r="K571" s="4" t="s">
        <v>8</v>
      </c>
    </row>
    <row r="572" spans="3:11" x14ac:dyDescent="0.3">
      <c r="C572" s="3">
        <v>45611</v>
      </c>
      <c r="D572" s="3" t="s">
        <v>32</v>
      </c>
      <c r="E572" s="4" t="s">
        <v>26</v>
      </c>
      <c r="F572" s="4" t="s">
        <v>51</v>
      </c>
      <c r="G572" s="4">
        <v>28</v>
      </c>
      <c r="H572" s="4">
        <v>425</v>
      </c>
      <c r="I572" s="4">
        <v>11900</v>
      </c>
      <c r="J572" s="4">
        <f>Table1[[#This Row],[Total Sale]]*0.2</f>
        <v>2380</v>
      </c>
      <c r="K572" s="4" t="s">
        <v>15</v>
      </c>
    </row>
    <row r="573" spans="3:11" x14ac:dyDescent="0.3">
      <c r="C573" s="3">
        <v>45611</v>
      </c>
      <c r="D573" s="3" t="s">
        <v>42</v>
      </c>
      <c r="E573" s="4" t="s">
        <v>18</v>
      </c>
      <c r="F573" s="4" t="s">
        <v>64</v>
      </c>
      <c r="G573" s="4">
        <v>43</v>
      </c>
      <c r="H573" s="4">
        <v>489</v>
      </c>
      <c r="I573" s="4">
        <v>21027</v>
      </c>
      <c r="J573" s="4">
        <f>Table1[[#This Row],[Total Sale]]*0.2</f>
        <v>4205.4000000000005</v>
      </c>
      <c r="K573" s="4" t="s">
        <v>20</v>
      </c>
    </row>
    <row r="574" spans="3:11" x14ac:dyDescent="0.3">
      <c r="C574" s="3">
        <v>45610</v>
      </c>
      <c r="D574" s="3" t="s">
        <v>34</v>
      </c>
      <c r="E574" s="4" t="s">
        <v>25</v>
      </c>
      <c r="F574" s="4" t="s">
        <v>55</v>
      </c>
      <c r="G574" s="4">
        <v>42</v>
      </c>
      <c r="H574" s="4">
        <v>237</v>
      </c>
      <c r="I574" s="4">
        <v>9954</v>
      </c>
      <c r="J574" s="4">
        <f>Table1[[#This Row],[Total Sale]]*0.2</f>
        <v>1990.8000000000002</v>
      </c>
      <c r="K574" s="4" t="s">
        <v>14</v>
      </c>
    </row>
    <row r="575" spans="3:11" x14ac:dyDescent="0.3">
      <c r="C575" s="3">
        <v>45609</v>
      </c>
      <c r="D575" s="3" t="s">
        <v>44</v>
      </c>
      <c r="E575" s="4" t="s">
        <v>26</v>
      </c>
      <c r="F575" s="4" t="s">
        <v>57</v>
      </c>
      <c r="G575" s="4">
        <v>28</v>
      </c>
      <c r="H575" s="4">
        <v>402</v>
      </c>
      <c r="I575" s="4">
        <v>11256</v>
      </c>
      <c r="J575" s="4">
        <f>Table1[[#This Row],[Total Sale]]*0.2</f>
        <v>2251.2000000000003</v>
      </c>
      <c r="K575" s="4" t="s">
        <v>17</v>
      </c>
    </row>
    <row r="576" spans="3:11" x14ac:dyDescent="0.3">
      <c r="C576" s="3">
        <v>45609</v>
      </c>
      <c r="D576" s="3" t="s">
        <v>38</v>
      </c>
      <c r="E576" s="4" t="s">
        <v>11</v>
      </c>
      <c r="F576" s="4" t="s">
        <v>61</v>
      </c>
      <c r="G576" s="4">
        <v>50</v>
      </c>
      <c r="H576" s="4">
        <v>284</v>
      </c>
      <c r="I576" s="4">
        <v>14200</v>
      </c>
      <c r="J576" s="4">
        <f>Table1[[#This Row],[Total Sale]]*0.2</f>
        <v>2840</v>
      </c>
      <c r="K576" s="4" t="s">
        <v>12</v>
      </c>
    </row>
    <row r="577" spans="3:11" x14ac:dyDescent="0.3">
      <c r="C577" s="3">
        <v>45607</v>
      </c>
      <c r="D577" s="3" t="s">
        <v>47</v>
      </c>
      <c r="E577" s="4" t="s">
        <v>27</v>
      </c>
      <c r="F577" s="4" t="s">
        <v>59</v>
      </c>
      <c r="G577" s="4">
        <v>22</v>
      </c>
      <c r="H577" s="4">
        <v>478</v>
      </c>
      <c r="I577" s="4">
        <v>10516</v>
      </c>
      <c r="J577" s="4">
        <f>Table1[[#This Row],[Total Sale]]*0.2</f>
        <v>2103.2000000000003</v>
      </c>
      <c r="K577" s="4" t="s">
        <v>20</v>
      </c>
    </row>
    <row r="578" spans="3:11" x14ac:dyDescent="0.3">
      <c r="C578" s="3">
        <v>45607</v>
      </c>
      <c r="D578" s="3" t="s">
        <v>37</v>
      </c>
      <c r="E578" s="4" t="s">
        <v>26</v>
      </c>
      <c r="F578" s="4" t="s">
        <v>62</v>
      </c>
      <c r="G578" s="4">
        <v>28</v>
      </c>
      <c r="H578" s="4">
        <v>446</v>
      </c>
      <c r="I578" s="4">
        <v>12488</v>
      </c>
      <c r="J578" s="4">
        <f>Table1[[#This Row],[Total Sale]]*0.2</f>
        <v>2497.6000000000004</v>
      </c>
      <c r="K578" s="4" t="s">
        <v>12</v>
      </c>
    </row>
    <row r="579" spans="3:11" x14ac:dyDescent="0.3">
      <c r="C579" s="3">
        <v>45605</v>
      </c>
      <c r="D579" s="3" t="s">
        <v>36</v>
      </c>
      <c r="E579" s="4" t="s">
        <v>27</v>
      </c>
      <c r="F579" s="4" t="s">
        <v>64</v>
      </c>
      <c r="G579" s="4">
        <v>30</v>
      </c>
      <c r="H579" s="4">
        <v>492</v>
      </c>
      <c r="I579" s="4">
        <v>14760</v>
      </c>
      <c r="J579" s="4">
        <f>Table1[[#This Row],[Total Sale]]*0.2</f>
        <v>2952</v>
      </c>
      <c r="K579" s="4" t="s">
        <v>12</v>
      </c>
    </row>
    <row r="580" spans="3:11" x14ac:dyDescent="0.3">
      <c r="C580" s="3">
        <v>45605</v>
      </c>
      <c r="D580" s="3" t="s">
        <v>42</v>
      </c>
      <c r="E580" s="4" t="s">
        <v>27</v>
      </c>
      <c r="F580" s="4" t="s">
        <v>66</v>
      </c>
      <c r="G580" s="4">
        <v>44</v>
      </c>
      <c r="H580" s="4">
        <v>223</v>
      </c>
      <c r="I580" s="4">
        <v>9812</v>
      </c>
      <c r="J580" s="4">
        <f>Table1[[#This Row],[Total Sale]]*0.2</f>
        <v>1962.4</v>
      </c>
      <c r="K580" s="4" t="s">
        <v>12</v>
      </c>
    </row>
    <row r="581" spans="3:11" x14ac:dyDescent="0.3">
      <c r="C581" s="3">
        <v>45605</v>
      </c>
      <c r="D581" s="3" t="s">
        <v>33</v>
      </c>
      <c r="E581" s="4" t="s">
        <v>29</v>
      </c>
      <c r="F581" s="4" t="s">
        <v>57</v>
      </c>
      <c r="G581" s="4">
        <v>37</v>
      </c>
      <c r="H581" s="4">
        <v>346</v>
      </c>
      <c r="I581" s="4">
        <v>12802</v>
      </c>
      <c r="J581" s="4">
        <f>Table1[[#This Row],[Total Sale]]*0.2</f>
        <v>2560.4</v>
      </c>
      <c r="K581" s="4" t="s">
        <v>7</v>
      </c>
    </row>
    <row r="582" spans="3:11" x14ac:dyDescent="0.3">
      <c r="C582" s="3">
        <v>45604</v>
      </c>
      <c r="D582" s="3" t="s">
        <v>39</v>
      </c>
      <c r="E582" s="4" t="s">
        <v>29</v>
      </c>
      <c r="F582" s="4" t="s">
        <v>69</v>
      </c>
      <c r="G582" s="4">
        <v>43</v>
      </c>
      <c r="H582" s="4">
        <v>419</v>
      </c>
      <c r="I582" s="4">
        <v>18017</v>
      </c>
      <c r="J582" s="4">
        <f>Table1[[#This Row],[Total Sale]]*0.2</f>
        <v>3603.4</v>
      </c>
      <c r="K582" s="4" t="s">
        <v>9</v>
      </c>
    </row>
    <row r="583" spans="3:11" x14ac:dyDescent="0.3">
      <c r="C583" s="3">
        <v>45602</v>
      </c>
      <c r="D583" s="3" t="s">
        <v>38</v>
      </c>
      <c r="E583" s="4" t="s">
        <v>18</v>
      </c>
      <c r="F583" s="4" t="s">
        <v>57</v>
      </c>
      <c r="G583" s="4">
        <v>18</v>
      </c>
      <c r="H583" s="4">
        <v>368</v>
      </c>
      <c r="I583" s="4">
        <v>6624</v>
      </c>
      <c r="J583" s="4">
        <f>Table1[[#This Row],[Total Sale]]*0.2</f>
        <v>1324.8000000000002</v>
      </c>
      <c r="K583" s="4" t="s">
        <v>28</v>
      </c>
    </row>
    <row r="584" spans="3:11" x14ac:dyDescent="0.3">
      <c r="C584" s="3">
        <v>45601</v>
      </c>
      <c r="D584" s="3" t="s">
        <v>46</v>
      </c>
      <c r="E584" s="4" t="s">
        <v>16</v>
      </c>
      <c r="F584" s="4" t="s">
        <v>51</v>
      </c>
      <c r="G584" s="4">
        <v>40</v>
      </c>
      <c r="H584" s="4">
        <v>459</v>
      </c>
      <c r="I584" s="4">
        <v>18360</v>
      </c>
      <c r="J584" s="4">
        <f>Table1[[#This Row],[Total Sale]]*0.2</f>
        <v>3672</v>
      </c>
      <c r="K584" s="4" t="s">
        <v>17</v>
      </c>
    </row>
    <row r="585" spans="3:11" x14ac:dyDescent="0.3">
      <c r="C585" s="3">
        <v>45601</v>
      </c>
      <c r="D585" s="3" t="s">
        <v>41</v>
      </c>
      <c r="E585" s="4" t="s">
        <v>29</v>
      </c>
      <c r="F585" s="4" t="s">
        <v>68</v>
      </c>
      <c r="G585" s="4">
        <v>34</v>
      </c>
      <c r="H585" s="4">
        <v>376</v>
      </c>
      <c r="I585" s="4">
        <v>12784</v>
      </c>
      <c r="J585" s="4">
        <f>Table1[[#This Row],[Total Sale]]*0.2</f>
        <v>2556.8000000000002</v>
      </c>
      <c r="K585" s="4" t="s">
        <v>12</v>
      </c>
    </row>
    <row r="586" spans="3:11" x14ac:dyDescent="0.3">
      <c r="C586" s="3">
        <v>45600</v>
      </c>
      <c r="D586" s="3" t="s">
        <v>46</v>
      </c>
      <c r="E586" s="4" t="s">
        <v>11</v>
      </c>
      <c r="F586" s="4" t="s">
        <v>68</v>
      </c>
      <c r="G586" s="4">
        <v>31</v>
      </c>
      <c r="H586" s="4">
        <v>303</v>
      </c>
      <c r="I586" s="4">
        <v>9393</v>
      </c>
      <c r="J586" s="4">
        <f>Table1[[#This Row],[Total Sale]]*0.2</f>
        <v>1878.6000000000001</v>
      </c>
      <c r="K586" s="4" t="s">
        <v>12</v>
      </c>
    </row>
    <row r="587" spans="3:11" x14ac:dyDescent="0.3">
      <c r="C587" s="3">
        <v>45600</v>
      </c>
      <c r="D587" s="3" t="s">
        <v>35</v>
      </c>
      <c r="E587" s="4" t="s">
        <v>13</v>
      </c>
      <c r="F587" s="4" t="s">
        <v>62</v>
      </c>
      <c r="G587" s="4">
        <v>30</v>
      </c>
      <c r="H587" s="4">
        <v>302</v>
      </c>
      <c r="I587" s="4">
        <v>9060</v>
      </c>
      <c r="J587" s="4">
        <f>Table1[[#This Row],[Total Sale]]*0.2</f>
        <v>1812</v>
      </c>
      <c r="K587" s="4" t="s">
        <v>20</v>
      </c>
    </row>
    <row r="588" spans="3:11" x14ac:dyDescent="0.3">
      <c r="C588" s="3">
        <v>45600</v>
      </c>
      <c r="D588" s="3" t="s">
        <v>41</v>
      </c>
      <c r="E588" s="4" t="s">
        <v>13</v>
      </c>
      <c r="F588" s="4" t="s">
        <v>70</v>
      </c>
      <c r="G588" s="4">
        <v>15</v>
      </c>
      <c r="H588" s="4">
        <v>214</v>
      </c>
      <c r="I588" s="4">
        <v>3210</v>
      </c>
      <c r="J588" s="4">
        <f>Table1[[#This Row],[Total Sale]]*0.2</f>
        <v>642</v>
      </c>
      <c r="K588" s="4" t="s">
        <v>22</v>
      </c>
    </row>
    <row r="589" spans="3:11" x14ac:dyDescent="0.3">
      <c r="C589" s="3">
        <v>45600</v>
      </c>
      <c r="D589" s="3" t="s">
        <v>33</v>
      </c>
      <c r="E589" s="4" t="s">
        <v>29</v>
      </c>
      <c r="F589" s="4" t="s">
        <v>60</v>
      </c>
      <c r="G589" s="4">
        <v>36</v>
      </c>
      <c r="H589" s="4">
        <v>469</v>
      </c>
      <c r="I589" s="4">
        <v>16884</v>
      </c>
      <c r="J589" s="4">
        <f>Table1[[#This Row],[Total Sale]]*0.2</f>
        <v>3376.8</v>
      </c>
      <c r="K589" s="4" t="s">
        <v>28</v>
      </c>
    </row>
    <row r="590" spans="3:11" x14ac:dyDescent="0.3">
      <c r="C590" s="3">
        <v>45599</v>
      </c>
      <c r="D590" s="3" t="s">
        <v>35</v>
      </c>
      <c r="E590" s="4" t="s">
        <v>11</v>
      </c>
      <c r="F590" s="4" t="s">
        <v>60</v>
      </c>
      <c r="G590" s="4">
        <v>25</v>
      </c>
      <c r="H590" s="4">
        <v>429</v>
      </c>
      <c r="I590" s="4">
        <v>10725</v>
      </c>
      <c r="J590" s="4">
        <f>Table1[[#This Row],[Total Sale]]*0.2</f>
        <v>2145</v>
      </c>
      <c r="K590" s="4" t="s">
        <v>22</v>
      </c>
    </row>
    <row r="591" spans="3:11" x14ac:dyDescent="0.3">
      <c r="C591" s="3">
        <v>45597</v>
      </c>
      <c r="D591" s="3" t="s">
        <v>46</v>
      </c>
      <c r="E591" s="4" t="s">
        <v>26</v>
      </c>
      <c r="F591" s="4" t="s">
        <v>70</v>
      </c>
      <c r="G591" s="4">
        <v>49</v>
      </c>
      <c r="H591" s="4">
        <v>308</v>
      </c>
      <c r="I591" s="4">
        <v>15092</v>
      </c>
      <c r="J591" s="4">
        <f>Table1[[#This Row],[Total Sale]]*0.2</f>
        <v>3018.4</v>
      </c>
      <c r="K591" s="4" t="s">
        <v>21</v>
      </c>
    </row>
    <row r="592" spans="3:11" x14ac:dyDescent="0.3">
      <c r="C592" s="3">
        <v>45597</v>
      </c>
      <c r="D592" s="3" t="s">
        <v>40</v>
      </c>
      <c r="E592" s="4" t="s">
        <v>11</v>
      </c>
      <c r="F592" s="4" t="s">
        <v>65</v>
      </c>
      <c r="G592" s="4">
        <v>29</v>
      </c>
      <c r="H592" s="4">
        <v>354</v>
      </c>
      <c r="I592" s="4">
        <v>10266</v>
      </c>
      <c r="J592" s="4">
        <f>Table1[[#This Row],[Total Sale]]*0.2</f>
        <v>2053.2000000000003</v>
      </c>
      <c r="K592" s="4" t="s">
        <v>19</v>
      </c>
    </row>
    <row r="593" spans="3:11" x14ac:dyDescent="0.3">
      <c r="C593" s="3">
        <v>45597</v>
      </c>
      <c r="D593" s="3" t="s">
        <v>35</v>
      </c>
      <c r="E593" s="4" t="s">
        <v>6</v>
      </c>
      <c r="F593" s="4" t="s">
        <v>54</v>
      </c>
      <c r="G593" s="4">
        <v>31</v>
      </c>
      <c r="H593" s="4">
        <v>407</v>
      </c>
      <c r="I593" s="4">
        <v>12617</v>
      </c>
      <c r="J593" s="4">
        <f>Table1[[#This Row],[Total Sale]]*0.2</f>
        <v>2523.4</v>
      </c>
      <c r="K593" s="4" t="s">
        <v>24</v>
      </c>
    </row>
    <row r="594" spans="3:11" x14ac:dyDescent="0.3">
      <c r="C594" s="3">
        <v>45596</v>
      </c>
      <c r="D594" s="3" t="s">
        <v>48</v>
      </c>
      <c r="E594" s="4" t="s">
        <v>13</v>
      </c>
      <c r="F594" s="4" t="s">
        <v>51</v>
      </c>
      <c r="G594" s="4">
        <v>34</v>
      </c>
      <c r="H594" s="4">
        <v>279</v>
      </c>
      <c r="I594" s="4">
        <v>9486</v>
      </c>
      <c r="J594" s="4">
        <f>Table1[[#This Row],[Total Sale]]*0.2</f>
        <v>1897.2</v>
      </c>
      <c r="K594" s="4" t="s">
        <v>21</v>
      </c>
    </row>
    <row r="595" spans="3:11" x14ac:dyDescent="0.3">
      <c r="C595" s="3">
        <v>45592</v>
      </c>
      <c r="D595" s="3" t="s">
        <v>46</v>
      </c>
      <c r="E595" s="4" t="s">
        <v>10</v>
      </c>
      <c r="F595" s="4" t="s">
        <v>51</v>
      </c>
      <c r="G595" s="4">
        <v>48</v>
      </c>
      <c r="H595" s="4">
        <v>203</v>
      </c>
      <c r="I595" s="4">
        <v>9744</v>
      </c>
      <c r="J595" s="4">
        <f>Table1[[#This Row],[Total Sale]]*0.2</f>
        <v>1948.8000000000002</v>
      </c>
      <c r="K595" s="4" t="s">
        <v>19</v>
      </c>
    </row>
    <row r="596" spans="3:11" x14ac:dyDescent="0.3">
      <c r="C596" s="3">
        <v>45592</v>
      </c>
      <c r="D596" s="3" t="s">
        <v>38</v>
      </c>
      <c r="E596" s="4" t="s">
        <v>6</v>
      </c>
      <c r="F596" s="4" t="s">
        <v>68</v>
      </c>
      <c r="G596" s="4">
        <v>46</v>
      </c>
      <c r="H596" s="4">
        <v>249</v>
      </c>
      <c r="I596" s="4">
        <v>11454</v>
      </c>
      <c r="J596" s="4">
        <f>Table1[[#This Row],[Total Sale]]*0.2</f>
        <v>2290.8000000000002</v>
      </c>
      <c r="K596" s="4" t="s">
        <v>21</v>
      </c>
    </row>
    <row r="597" spans="3:11" x14ac:dyDescent="0.3">
      <c r="C597" s="3">
        <v>45591</v>
      </c>
      <c r="D597" s="3" t="s">
        <v>45</v>
      </c>
      <c r="E597" s="4" t="s">
        <v>25</v>
      </c>
      <c r="F597" s="4" t="s">
        <v>56</v>
      </c>
      <c r="G597" s="4">
        <v>45</v>
      </c>
      <c r="H597" s="4">
        <v>456</v>
      </c>
      <c r="I597" s="4">
        <v>20520</v>
      </c>
      <c r="J597" s="4">
        <f>Table1[[#This Row],[Total Sale]]*0.2</f>
        <v>4104</v>
      </c>
      <c r="K597" s="4" t="s">
        <v>17</v>
      </c>
    </row>
    <row r="598" spans="3:11" x14ac:dyDescent="0.3">
      <c r="C598" s="3">
        <v>45591</v>
      </c>
      <c r="D598" s="3" t="s">
        <v>32</v>
      </c>
      <c r="E598" s="4" t="s">
        <v>11</v>
      </c>
      <c r="F598" s="4" t="s">
        <v>56</v>
      </c>
      <c r="G598" s="4">
        <v>37</v>
      </c>
      <c r="H598" s="4">
        <v>309</v>
      </c>
      <c r="I598" s="4">
        <v>11433</v>
      </c>
      <c r="J598" s="4">
        <f>Table1[[#This Row],[Total Sale]]*0.2</f>
        <v>2286.6</v>
      </c>
      <c r="K598" s="4" t="s">
        <v>22</v>
      </c>
    </row>
    <row r="599" spans="3:11" x14ac:dyDescent="0.3">
      <c r="C599" s="3">
        <v>45590</v>
      </c>
      <c r="D599" s="3" t="s">
        <v>45</v>
      </c>
      <c r="E599" s="4" t="s">
        <v>25</v>
      </c>
      <c r="F599" s="4" t="s">
        <v>54</v>
      </c>
      <c r="G599" s="4">
        <v>28</v>
      </c>
      <c r="H599" s="4">
        <v>317</v>
      </c>
      <c r="I599" s="4">
        <v>8876</v>
      </c>
      <c r="J599" s="4">
        <f>Table1[[#This Row],[Total Sale]]*0.2</f>
        <v>1775.2</v>
      </c>
      <c r="K599" s="4" t="s">
        <v>7</v>
      </c>
    </row>
    <row r="600" spans="3:11" x14ac:dyDescent="0.3">
      <c r="C600" s="3">
        <v>45589</v>
      </c>
      <c r="D600" s="3" t="s">
        <v>42</v>
      </c>
      <c r="E600" s="4" t="s">
        <v>27</v>
      </c>
      <c r="F600" s="4" t="s">
        <v>56</v>
      </c>
      <c r="G600" s="4">
        <v>38</v>
      </c>
      <c r="H600" s="4">
        <v>415</v>
      </c>
      <c r="I600" s="4">
        <v>15770</v>
      </c>
      <c r="J600" s="4">
        <f>Table1[[#This Row],[Total Sale]]*0.2</f>
        <v>3154</v>
      </c>
      <c r="K600" s="4" t="s">
        <v>22</v>
      </c>
    </row>
    <row r="601" spans="3:11" x14ac:dyDescent="0.3">
      <c r="C601" s="3">
        <v>45589</v>
      </c>
      <c r="D601" s="3" t="s">
        <v>31</v>
      </c>
      <c r="E601" s="4" t="s">
        <v>13</v>
      </c>
      <c r="F601" s="4" t="s">
        <v>54</v>
      </c>
      <c r="G601" s="4">
        <v>28</v>
      </c>
      <c r="H601" s="4">
        <v>388</v>
      </c>
      <c r="I601" s="4">
        <v>10864</v>
      </c>
      <c r="J601" s="4">
        <f>Table1[[#This Row],[Total Sale]]*0.2</f>
        <v>2172.8000000000002</v>
      </c>
      <c r="K601" s="4" t="s">
        <v>20</v>
      </c>
    </row>
    <row r="602" spans="3:11" x14ac:dyDescent="0.3">
      <c r="C602" s="3">
        <v>45589</v>
      </c>
      <c r="D602" s="3" t="s">
        <v>43</v>
      </c>
      <c r="E602" s="4" t="s">
        <v>16</v>
      </c>
      <c r="F602" s="4" t="s">
        <v>69</v>
      </c>
      <c r="G602" s="4">
        <v>34</v>
      </c>
      <c r="H602" s="4">
        <v>381</v>
      </c>
      <c r="I602" s="4">
        <v>12954</v>
      </c>
      <c r="J602" s="4">
        <f>Table1[[#This Row],[Total Sale]]*0.2</f>
        <v>2590.8000000000002</v>
      </c>
      <c r="K602" s="4" t="s">
        <v>24</v>
      </c>
    </row>
    <row r="603" spans="3:11" x14ac:dyDescent="0.3">
      <c r="C603" s="3">
        <v>45588</v>
      </c>
      <c r="D603" s="3" t="s">
        <v>37</v>
      </c>
      <c r="E603" s="4" t="s">
        <v>16</v>
      </c>
      <c r="F603" s="4" t="s">
        <v>69</v>
      </c>
      <c r="G603" s="4">
        <v>32</v>
      </c>
      <c r="H603" s="4">
        <v>243</v>
      </c>
      <c r="I603" s="4">
        <v>7776</v>
      </c>
      <c r="J603" s="4">
        <f>Table1[[#This Row],[Total Sale]]*0.2</f>
        <v>1555.2</v>
      </c>
      <c r="K603" s="4" t="s">
        <v>14</v>
      </c>
    </row>
    <row r="604" spans="3:11" x14ac:dyDescent="0.3">
      <c r="C604" s="3">
        <v>45585</v>
      </c>
      <c r="D604" s="3" t="s">
        <v>37</v>
      </c>
      <c r="E604" s="4" t="s">
        <v>13</v>
      </c>
      <c r="F604" s="4" t="s">
        <v>69</v>
      </c>
      <c r="G604" s="4">
        <v>27</v>
      </c>
      <c r="H604" s="4">
        <v>471</v>
      </c>
      <c r="I604" s="4">
        <v>12717</v>
      </c>
      <c r="J604" s="4">
        <f>Table1[[#This Row],[Total Sale]]*0.2</f>
        <v>2543.4</v>
      </c>
      <c r="K604" s="4" t="s">
        <v>15</v>
      </c>
    </row>
    <row r="605" spans="3:11" x14ac:dyDescent="0.3">
      <c r="C605" s="3">
        <v>45584</v>
      </c>
      <c r="D605" s="3" t="s">
        <v>33</v>
      </c>
      <c r="E605" s="4" t="s">
        <v>6</v>
      </c>
      <c r="F605" s="4" t="s">
        <v>56</v>
      </c>
      <c r="G605" s="4">
        <v>26</v>
      </c>
      <c r="H605" s="4">
        <v>352</v>
      </c>
      <c r="I605" s="4">
        <v>9152</v>
      </c>
      <c r="J605" s="4">
        <f>Table1[[#This Row],[Total Sale]]*0.2</f>
        <v>1830.4</v>
      </c>
      <c r="K605" s="4" t="s">
        <v>23</v>
      </c>
    </row>
    <row r="606" spans="3:11" x14ac:dyDescent="0.3">
      <c r="C606" s="3">
        <v>45584</v>
      </c>
      <c r="D606" s="3" t="s">
        <v>49</v>
      </c>
      <c r="E606" s="4" t="s">
        <v>6</v>
      </c>
      <c r="F606" s="4" t="s">
        <v>57</v>
      </c>
      <c r="G606" s="4">
        <v>49</v>
      </c>
      <c r="H606" s="4">
        <v>224</v>
      </c>
      <c r="I606" s="4">
        <v>10976</v>
      </c>
      <c r="J606" s="4">
        <f>Table1[[#This Row],[Total Sale]]*0.2</f>
        <v>2195.2000000000003</v>
      </c>
      <c r="K606" s="4" t="s">
        <v>8</v>
      </c>
    </row>
    <row r="607" spans="3:11" x14ac:dyDescent="0.3">
      <c r="C607" s="3">
        <v>45582</v>
      </c>
      <c r="D607" s="3" t="s">
        <v>32</v>
      </c>
      <c r="E607" s="4" t="s">
        <v>10</v>
      </c>
      <c r="F607" s="4" t="s">
        <v>56</v>
      </c>
      <c r="G607" s="4">
        <v>40</v>
      </c>
      <c r="H607" s="4">
        <v>250</v>
      </c>
      <c r="I607" s="4">
        <v>10000</v>
      </c>
      <c r="J607" s="4">
        <f>Table1[[#This Row],[Total Sale]]*0.2</f>
        <v>2000</v>
      </c>
      <c r="K607" s="4" t="s">
        <v>14</v>
      </c>
    </row>
    <row r="608" spans="3:11" x14ac:dyDescent="0.3">
      <c r="C608" s="3">
        <v>45582</v>
      </c>
      <c r="D608" s="3" t="s">
        <v>31</v>
      </c>
      <c r="E608" s="4" t="s">
        <v>18</v>
      </c>
      <c r="F608" s="4" t="s">
        <v>53</v>
      </c>
      <c r="G608" s="4">
        <v>44</v>
      </c>
      <c r="H608" s="4">
        <v>297</v>
      </c>
      <c r="I608" s="4">
        <v>13068</v>
      </c>
      <c r="J608" s="4">
        <f>Table1[[#This Row],[Total Sale]]*0.2</f>
        <v>2613.6000000000004</v>
      </c>
      <c r="K608" s="4" t="s">
        <v>7</v>
      </c>
    </row>
    <row r="609" spans="3:11" x14ac:dyDescent="0.3">
      <c r="C609" s="3">
        <v>45581</v>
      </c>
      <c r="D609" s="3" t="s">
        <v>44</v>
      </c>
      <c r="E609" s="4" t="s">
        <v>13</v>
      </c>
      <c r="F609" s="4" t="s">
        <v>58</v>
      </c>
      <c r="G609" s="4">
        <v>34</v>
      </c>
      <c r="H609" s="4">
        <v>295</v>
      </c>
      <c r="I609" s="4">
        <v>10030</v>
      </c>
      <c r="J609" s="4">
        <f>Table1[[#This Row],[Total Sale]]*0.2</f>
        <v>2006</v>
      </c>
      <c r="K609" s="4" t="s">
        <v>23</v>
      </c>
    </row>
    <row r="610" spans="3:11" x14ac:dyDescent="0.3">
      <c r="C610" s="3">
        <v>45581</v>
      </c>
      <c r="D610" s="3" t="s">
        <v>32</v>
      </c>
      <c r="E610" s="4" t="s">
        <v>16</v>
      </c>
      <c r="F610" s="4" t="s">
        <v>57</v>
      </c>
      <c r="G610" s="4">
        <v>20</v>
      </c>
      <c r="H610" s="4">
        <v>315</v>
      </c>
      <c r="I610" s="4">
        <v>6300</v>
      </c>
      <c r="J610" s="4">
        <f>Table1[[#This Row],[Total Sale]]*0.2</f>
        <v>1260</v>
      </c>
      <c r="K610" s="4" t="s">
        <v>9</v>
      </c>
    </row>
    <row r="611" spans="3:11" x14ac:dyDescent="0.3">
      <c r="C611" s="3">
        <v>45580</v>
      </c>
      <c r="D611" s="3" t="s">
        <v>39</v>
      </c>
      <c r="E611" s="4" t="s">
        <v>18</v>
      </c>
      <c r="F611" s="4" t="s">
        <v>69</v>
      </c>
      <c r="G611" s="4">
        <v>50</v>
      </c>
      <c r="H611" s="4">
        <v>397</v>
      </c>
      <c r="I611" s="4">
        <v>19850</v>
      </c>
      <c r="J611" s="4">
        <f>Table1[[#This Row],[Total Sale]]*0.2</f>
        <v>3970</v>
      </c>
      <c r="K611" s="4" t="s">
        <v>7</v>
      </c>
    </row>
    <row r="612" spans="3:11" x14ac:dyDescent="0.3">
      <c r="C612" s="3">
        <v>45580</v>
      </c>
      <c r="D612" s="3" t="s">
        <v>40</v>
      </c>
      <c r="E612" s="4" t="s">
        <v>29</v>
      </c>
      <c r="F612" s="4" t="s">
        <v>52</v>
      </c>
      <c r="G612" s="4">
        <v>17</v>
      </c>
      <c r="H612" s="4">
        <v>495</v>
      </c>
      <c r="I612" s="4">
        <v>8415</v>
      </c>
      <c r="J612" s="4">
        <f>Table1[[#This Row],[Total Sale]]*0.2</f>
        <v>1683</v>
      </c>
      <c r="K612" s="4" t="s">
        <v>15</v>
      </c>
    </row>
    <row r="613" spans="3:11" x14ac:dyDescent="0.3">
      <c r="C613" s="3">
        <v>45579</v>
      </c>
      <c r="D613" s="3" t="s">
        <v>40</v>
      </c>
      <c r="E613" s="4" t="s">
        <v>11</v>
      </c>
      <c r="F613" s="4" t="s">
        <v>68</v>
      </c>
      <c r="G613" s="4">
        <v>42</v>
      </c>
      <c r="H613" s="4">
        <v>207</v>
      </c>
      <c r="I613" s="4">
        <v>8694</v>
      </c>
      <c r="J613" s="4">
        <f>Table1[[#This Row],[Total Sale]]*0.2</f>
        <v>1738.8000000000002</v>
      </c>
      <c r="K613" s="4" t="s">
        <v>20</v>
      </c>
    </row>
    <row r="614" spans="3:11" x14ac:dyDescent="0.3">
      <c r="C614" s="3">
        <v>45578</v>
      </c>
      <c r="D614" s="3" t="s">
        <v>43</v>
      </c>
      <c r="E614" s="4" t="s">
        <v>18</v>
      </c>
      <c r="F614" s="4" t="s">
        <v>59</v>
      </c>
      <c r="G614" s="4">
        <v>34</v>
      </c>
      <c r="H614" s="4">
        <v>482</v>
      </c>
      <c r="I614" s="4">
        <v>16388</v>
      </c>
      <c r="J614" s="4">
        <f>Table1[[#This Row],[Total Sale]]*0.2</f>
        <v>3277.6000000000004</v>
      </c>
      <c r="K614" s="4" t="s">
        <v>8</v>
      </c>
    </row>
    <row r="615" spans="3:11" x14ac:dyDescent="0.3">
      <c r="C615" s="3">
        <v>45578</v>
      </c>
      <c r="D615" s="3" t="s">
        <v>44</v>
      </c>
      <c r="E615" s="4" t="s">
        <v>29</v>
      </c>
      <c r="F615" s="4" t="s">
        <v>67</v>
      </c>
      <c r="G615" s="4">
        <v>28</v>
      </c>
      <c r="H615" s="4">
        <v>276</v>
      </c>
      <c r="I615" s="4">
        <v>7728</v>
      </c>
      <c r="J615" s="4">
        <f>Table1[[#This Row],[Total Sale]]*0.2</f>
        <v>1545.6000000000001</v>
      </c>
      <c r="K615" s="4" t="s">
        <v>7</v>
      </c>
    </row>
    <row r="616" spans="3:11" x14ac:dyDescent="0.3">
      <c r="C616" s="3">
        <v>45577</v>
      </c>
      <c r="D616" s="3" t="s">
        <v>43</v>
      </c>
      <c r="E616" s="4" t="s">
        <v>27</v>
      </c>
      <c r="F616" s="4" t="s">
        <v>51</v>
      </c>
      <c r="G616" s="4">
        <v>16</v>
      </c>
      <c r="H616" s="4">
        <v>353</v>
      </c>
      <c r="I616" s="4">
        <v>5648</v>
      </c>
      <c r="J616" s="4">
        <f>Table1[[#This Row],[Total Sale]]*0.2</f>
        <v>1129.6000000000001</v>
      </c>
      <c r="K616" s="4" t="s">
        <v>19</v>
      </c>
    </row>
    <row r="617" spans="3:11" x14ac:dyDescent="0.3">
      <c r="C617" s="3">
        <v>45577</v>
      </c>
      <c r="D617" s="3" t="s">
        <v>40</v>
      </c>
      <c r="E617" s="4" t="s">
        <v>25</v>
      </c>
      <c r="F617" s="4" t="s">
        <v>57</v>
      </c>
      <c r="G617" s="4">
        <v>46</v>
      </c>
      <c r="H617" s="4">
        <v>282</v>
      </c>
      <c r="I617" s="4">
        <v>12972</v>
      </c>
      <c r="J617" s="4">
        <f>Table1[[#This Row],[Total Sale]]*0.2</f>
        <v>2594.4</v>
      </c>
      <c r="K617" s="4" t="s">
        <v>7</v>
      </c>
    </row>
    <row r="618" spans="3:11" x14ac:dyDescent="0.3">
      <c r="C618" s="3">
        <v>45577</v>
      </c>
      <c r="D618" s="3" t="s">
        <v>47</v>
      </c>
      <c r="E618" s="4" t="s">
        <v>26</v>
      </c>
      <c r="F618" s="4" t="s">
        <v>61</v>
      </c>
      <c r="G618" s="4">
        <v>41</v>
      </c>
      <c r="H618" s="4">
        <v>347</v>
      </c>
      <c r="I618" s="4">
        <v>14227</v>
      </c>
      <c r="J618" s="4">
        <f>Table1[[#This Row],[Total Sale]]*0.2</f>
        <v>2845.4</v>
      </c>
      <c r="K618" s="4" t="s">
        <v>15</v>
      </c>
    </row>
    <row r="619" spans="3:11" x14ac:dyDescent="0.3">
      <c r="C619" s="3">
        <v>45577</v>
      </c>
      <c r="D619" s="3" t="s">
        <v>31</v>
      </c>
      <c r="E619" s="4" t="s">
        <v>26</v>
      </c>
      <c r="F619" s="4" t="s">
        <v>69</v>
      </c>
      <c r="G619" s="4">
        <v>21</v>
      </c>
      <c r="H619" s="4">
        <v>259</v>
      </c>
      <c r="I619" s="4">
        <v>5439</v>
      </c>
      <c r="J619" s="4">
        <f>Table1[[#This Row],[Total Sale]]*0.2</f>
        <v>1087.8</v>
      </c>
      <c r="K619" s="4" t="s">
        <v>7</v>
      </c>
    </row>
    <row r="620" spans="3:11" x14ac:dyDescent="0.3">
      <c r="C620" s="3">
        <v>45577</v>
      </c>
      <c r="D620" s="3" t="s">
        <v>50</v>
      </c>
      <c r="E620" s="4" t="s">
        <v>6</v>
      </c>
      <c r="F620" s="4" t="s">
        <v>67</v>
      </c>
      <c r="G620" s="4">
        <v>37</v>
      </c>
      <c r="H620" s="4">
        <v>445</v>
      </c>
      <c r="I620" s="4">
        <v>16465</v>
      </c>
      <c r="J620" s="4">
        <f>Table1[[#This Row],[Total Sale]]*0.2</f>
        <v>3293</v>
      </c>
      <c r="K620" s="4" t="s">
        <v>19</v>
      </c>
    </row>
    <row r="621" spans="3:11" x14ac:dyDescent="0.3">
      <c r="C621" s="3">
        <v>45576</v>
      </c>
      <c r="D621" s="3" t="s">
        <v>49</v>
      </c>
      <c r="E621" s="4" t="s">
        <v>13</v>
      </c>
      <c r="F621" s="4" t="s">
        <v>67</v>
      </c>
      <c r="G621" s="4">
        <v>32</v>
      </c>
      <c r="H621" s="4">
        <v>395</v>
      </c>
      <c r="I621" s="4">
        <v>12640</v>
      </c>
      <c r="J621" s="4">
        <f>Table1[[#This Row],[Total Sale]]*0.2</f>
        <v>2528</v>
      </c>
      <c r="K621" s="4" t="s">
        <v>28</v>
      </c>
    </row>
    <row r="622" spans="3:11" x14ac:dyDescent="0.3">
      <c r="C622" s="3">
        <v>45575</v>
      </c>
      <c r="D622" s="3" t="s">
        <v>41</v>
      </c>
      <c r="E622" s="4" t="s">
        <v>26</v>
      </c>
      <c r="F622" s="4" t="s">
        <v>64</v>
      </c>
      <c r="G622" s="4">
        <v>44</v>
      </c>
      <c r="H622" s="4">
        <v>397</v>
      </c>
      <c r="I622" s="4">
        <v>17468</v>
      </c>
      <c r="J622" s="4">
        <f>Table1[[#This Row],[Total Sale]]*0.2</f>
        <v>3493.6000000000004</v>
      </c>
      <c r="K622" s="4" t="s">
        <v>7</v>
      </c>
    </row>
    <row r="623" spans="3:11" x14ac:dyDescent="0.3">
      <c r="C623" s="3">
        <v>45575</v>
      </c>
      <c r="D623" s="3" t="s">
        <v>44</v>
      </c>
      <c r="E623" s="4" t="s">
        <v>6</v>
      </c>
      <c r="F623" s="4" t="s">
        <v>66</v>
      </c>
      <c r="G623" s="4">
        <v>24</v>
      </c>
      <c r="H623" s="4">
        <v>230</v>
      </c>
      <c r="I623" s="4">
        <v>5520</v>
      </c>
      <c r="J623" s="4">
        <f>Table1[[#This Row],[Total Sale]]*0.2</f>
        <v>1104</v>
      </c>
      <c r="K623" s="4" t="s">
        <v>9</v>
      </c>
    </row>
    <row r="624" spans="3:11" x14ac:dyDescent="0.3">
      <c r="C624" s="3">
        <v>45574</v>
      </c>
      <c r="D624" s="3" t="s">
        <v>40</v>
      </c>
      <c r="E624" s="4" t="s">
        <v>13</v>
      </c>
      <c r="F624" s="4" t="s">
        <v>54</v>
      </c>
      <c r="G624" s="4">
        <v>40</v>
      </c>
      <c r="H624" s="4">
        <v>474</v>
      </c>
      <c r="I624" s="4">
        <v>18960</v>
      </c>
      <c r="J624" s="4">
        <f>Table1[[#This Row],[Total Sale]]*0.2</f>
        <v>3792</v>
      </c>
      <c r="K624" s="4" t="s">
        <v>8</v>
      </c>
    </row>
    <row r="625" spans="3:11" x14ac:dyDescent="0.3">
      <c r="C625" s="3">
        <v>45573</v>
      </c>
      <c r="D625" s="3" t="s">
        <v>41</v>
      </c>
      <c r="E625" s="4" t="s">
        <v>10</v>
      </c>
      <c r="F625" s="4" t="s">
        <v>59</v>
      </c>
      <c r="G625" s="4">
        <v>47</v>
      </c>
      <c r="H625" s="4">
        <v>217</v>
      </c>
      <c r="I625" s="4">
        <v>10199</v>
      </c>
      <c r="J625" s="4">
        <f>Table1[[#This Row],[Total Sale]]*0.2</f>
        <v>2039.8000000000002</v>
      </c>
      <c r="K625" s="4" t="s">
        <v>9</v>
      </c>
    </row>
    <row r="626" spans="3:11" x14ac:dyDescent="0.3">
      <c r="C626" s="3">
        <v>45573</v>
      </c>
      <c r="D626" s="3" t="s">
        <v>36</v>
      </c>
      <c r="E626" s="4" t="s">
        <v>6</v>
      </c>
      <c r="F626" s="4" t="s">
        <v>65</v>
      </c>
      <c r="G626" s="4">
        <v>39</v>
      </c>
      <c r="H626" s="4">
        <v>220</v>
      </c>
      <c r="I626" s="4">
        <v>8580</v>
      </c>
      <c r="J626" s="4">
        <f>Table1[[#This Row],[Total Sale]]*0.2</f>
        <v>1716</v>
      </c>
      <c r="K626" s="4" t="s">
        <v>17</v>
      </c>
    </row>
    <row r="627" spans="3:11" x14ac:dyDescent="0.3">
      <c r="C627" s="3">
        <v>45571</v>
      </c>
      <c r="D627" s="3" t="s">
        <v>37</v>
      </c>
      <c r="E627" s="4" t="s">
        <v>26</v>
      </c>
      <c r="F627" s="4" t="s">
        <v>63</v>
      </c>
      <c r="G627" s="4">
        <v>40</v>
      </c>
      <c r="H627" s="4">
        <v>437</v>
      </c>
      <c r="I627" s="4">
        <v>17480</v>
      </c>
      <c r="J627" s="4">
        <f>Table1[[#This Row],[Total Sale]]*0.2</f>
        <v>3496</v>
      </c>
      <c r="K627" s="4" t="s">
        <v>17</v>
      </c>
    </row>
    <row r="628" spans="3:11" x14ac:dyDescent="0.3">
      <c r="C628" s="3">
        <v>45571</v>
      </c>
      <c r="D628" s="3" t="s">
        <v>36</v>
      </c>
      <c r="E628" s="4" t="s">
        <v>10</v>
      </c>
      <c r="F628" s="4" t="s">
        <v>70</v>
      </c>
      <c r="G628" s="4">
        <v>39</v>
      </c>
      <c r="H628" s="4">
        <v>357</v>
      </c>
      <c r="I628" s="4">
        <v>13923</v>
      </c>
      <c r="J628" s="4">
        <f>Table1[[#This Row],[Total Sale]]*0.2</f>
        <v>2784.6000000000004</v>
      </c>
      <c r="K628" s="4" t="s">
        <v>12</v>
      </c>
    </row>
    <row r="629" spans="3:11" x14ac:dyDescent="0.3">
      <c r="C629" s="3">
        <v>45569</v>
      </c>
      <c r="D629" s="3" t="s">
        <v>43</v>
      </c>
      <c r="E629" s="4" t="s">
        <v>25</v>
      </c>
      <c r="F629" s="4" t="s">
        <v>68</v>
      </c>
      <c r="G629" s="4">
        <v>22</v>
      </c>
      <c r="H629" s="4">
        <v>287</v>
      </c>
      <c r="I629" s="4">
        <v>6314</v>
      </c>
      <c r="J629" s="4">
        <f>Table1[[#This Row],[Total Sale]]*0.2</f>
        <v>1262.8000000000002</v>
      </c>
      <c r="K629" s="4" t="s">
        <v>7</v>
      </c>
    </row>
    <row r="630" spans="3:11" x14ac:dyDescent="0.3">
      <c r="C630" s="3">
        <v>45569</v>
      </c>
      <c r="D630" s="3" t="s">
        <v>34</v>
      </c>
      <c r="E630" s="4" t="s">
        <v>6</v>
      </c>
      <c r="F630" s="4" t="s">
        <v>60</v>
      </c>
      <c r="G630" s="4">
        <v>13</v>
      </c>
      <c r="H630" s="4">
        <v>433</v>
      </c>
      <c r="I630" s="4">
        <v>5629</v>
      </c>
      <c r="J630" s="4">
        <f>Table1[[#This Row],[Total Sale]]*0.2</f>
        <v>1125.8</v>
      </c>
      <c r="K630" s="4" t="s">
        <v>15</v>
      </c>
    </row>
    <row r="631" spans="3:11" x14ac:dyDescent="0.3">
      <c r="C631" s="3">
        <v>45566</v>
      </c>
      <c r="D631" s="3" t="s">
        <v>50</v>
      </c>
      <c r="E631" s="4" t="s">
        <v>10</v>
      </c>
      <c r="F631" s="4" t="s">
        <v>53</v>
      </c>
      <c r="G631" s="4">
        <v>21</v>
      </c>
      <c r="H631" s="4">
        <v>245</v>
      </c>
      <c r="I631" s="4">
        <v>5145</v>
      </c>
      <c r="J631" s="4">
        <f>Table1[[#This Row],[Total Sale]]*0.2</f>
        <v>1029</v>
      </c>
      <c r="K631" s="4" t="s">
        <v>21</v>
      </c>
    </row>
    <row r="632" spans="3:11" x14ac:dyDescent="0.3">
      <c r="C632" s="3">
        <v>45564</v>
      </c>
      <c r="D632" s="3" t="s">
        <v>47</v>
      </c>
      <c r="E632" s="4" t="s">
        <v>25</v>
      </c>
      <c r="F632" s="4" t="s">
        <v>52</v>
      </c>
      <c r="G632" s="4">
        <v>33</v>
      </c>
      <c r="H632" s="4">
        <v>475</v>
      </c>
      <c r="I632" s="4">
        <v>15675</v>
      </c>
      <c r="J632" s="4">
        <f>Table1[[#This Row],[Total Sale]]*0.2</f>
        <v>3135</v>
      </c>
      <c r="K632" s="4" t="s">
        <v>9</v>
      </c>
    </row>
    <row r="633" spans="3:11" x14ac:dyDescent="0.3">
      <c r="C633" s="3">
        <v>45564</v>
      </c>
      <c r="D633" s="3" t="s">
        <v>31</v>
      </c>
      <c r="E633" s="4" t="s">
        <v>16</v>
      </c>
      <c r="F633" s="4" t="s">
        <v>54</v>
      </c>
      <c r="G633" s="4">
        <v>49</v>
      </c>
      <c r="H633" s="4">
        <v>335</v>
      </c>
      <c r="I633" s="4">
        <v>16415</v>
      </c>
      <c r="J633" s="4">
        <f>Table1[[#This Row],[Total Sale]]*0.2</f>
        <v>3283</v>
      </c>
      <c r="K633" s="4" t="s">
        <v>28</v>
      </c>
    </row>
    <row r="634" spans="3:11" x14ac:dyDescent="0.3">
      <c r="C634" s="3">
        <v>45562</v>
      </c>
      <c r="D634" s="3" t="s">
        <v>40</v>
      </c>
      <c r="E634" s="4" t="s">
        <v>11</v>
      </c>
      <c r="F634" s="4" t="s">
        <v>61</v>
      </c>
      <c r="G634" s="4">
        <v>10</v>
      </c>
      <c r="H634" s="4">
        <v>476</v>
      </c>
      <c r="I634" s="4">
        <v>4760</v>
      </c>
      <c r="J634" s="4">
        <f>Table1[[#This Row],[Total Sale]]*0.2</f>
        <v>952</v>
      </c>
      <c r="K634" s="4" t="s">
        <v>9</v>
      </c>
    </row>
    <row r="635" spans="3:11" x14ac:dyDescent="0.3">
      <c r="C635" s="3">
        <v>45561</v>
      </c>
      <c r="D635" s="3" t="s">
        <v>50</v>
      </c>
      <c r="E635" s="4" t="s">
        <v>13</v>
      </c>
      <c r="F635" s="4" t="s">
        <v>61</v>
      </c>
      <c r="G635" s="4">
        <v>37</v>
      </c>
      <c r="H635" s="4">
        <v>380</v>
      </c>
      <c r="I635" s="4">
        <v>14060</v>
      </c>
      <c r="J635" s="4">
        <f>Table1[[#This Row],[Total Sale]]*0.2</f>
        <v>2812</v>
      </c>
      <c r="K635" s="4" t="s">
        <v>15</v>
      </c>
    </row>
    <row r="636" spans="3:11" x14ac:dyDescent="0.3">
      <c r="C636" s="3">
        <v>45560</v>
      </c>
      <c r="D636" s="3" t="s">
        <v>45</v>
      </c>
      <c r="E636" s="4" t="s">
        <v>26</v>
      </c>
      <c r="F636" s="4" t="s">
        <v>58</v>
      </c>
      <c r="G636" s="4">
        <v>42</v>
      </c>
      <c r="H636" s="4">
        <v>262</v>
      </c>
      <c r="I636" s="4">
        <v>11004</v>
      </c>
      <c r="J636" s="4">
        <f>Table1[[#This Row],[Total Sale]]*0.2</f>
        <v>2200.8000000000002</v>
      </c>
      <c r="K636" s="4" t="s">
        <v>20</v>
      </c>
    </row>
    <row r="637" spans="3:11" x14ac:dyDescent="0.3">
      <c r="C637" s="3">
        <v>45558</v>
      </c>
      <c r="D637" s="3" t="s">
        <v>46</v>
      </c>
      <c r="E637" s="4" t="s">
        <v>6</v>
      </c>
      <c r="F637" s="4" t="s">
        <v>55</v>
      </c>
      <c r="G637" s="4">
        <v>42</v>
      </c>
      <c r="H637" s="4">
        <v>225</v>
      </c>
      <c r="I637" s="4">
        <v>9450</v>
      </c>
      <c r="J637" s="4">
        <f>Table1[[#This Row],[Total Sale]]*0.2</f>
        <v>1890</v>
      </c>
      <c r="K637" s="4" t="s">
        <v>28</v>
      </c>
    </row>
    <row r="638" spans="3:11" x14ac:dyDescent="0.3">
      <c r="C638" s="3">
        <v>45556</v>
      </c>
      <c r="D638" s="3" t="s">
        <v>33</v>
      </c>
      <c r="E638" s="4" t="s">
        <v>10</v>
      </c>
      <c r="F638" s="4" t="s">
        <v>52</v>
      </c>
      <c r="G638" s="4">
        <v>45</v>
      </c>
      <c r="H638" s="4">
        <v>235</v>
      </c>
      <c r="I638" s="4">
        <v>10575</v>
      </c>
      <c r="J638" s="4">
        <f>Table1[[#This Row],[Total Sale]]*0.2</f>
        <v>2115</v>
      </c>
      <c r="K638" s="4" t="s">
        <v>7</v>
      </c>
    </row>
    <row r="639" spans="3:11" x14ac:dyDescent="0.3">
      <c r="C639" s="3">
        <v>45555</v>
      </c>
      <c r="D639" s="3" t="s">
        <v>44</v>
      </c>
      <c r="E639" s="4" t="s">
        <v>25</v>
      </c>
      <c r="F639" s="4" t="s">
        <v>57</v>
      </c>
      <c r="G639" s="4">
        <v>18</v>
      </c>
      <c r="H639" s="4">
        <v>400</v>
      </c>
      <c r="I639" s="4">
        <v>7200</v>
      </c>
      <c r="J639" s="4">
        <f>Table1[[#This Row],[Total Sale]]*0.2</f>
        <v>1440</v>
      </c>
      <c r="K639" s="4" t="s">
        <v>15</v>
      </c>
    </row>
    <row r="640" spans="3:11" x14ac:dyDescent="0.3">
      <c r="C640" s="3">
        <v>45554</v>
      </c>
      <c r="D640" s="3" t="s">
        <v>45</v>
      </c>
      <c r="E640" s="4" t="s">
        <v>25</v>
      </c>
      <c r="F640" s="4" t="s">
        <v>54</v>
      </c>
      <c r="G640" s="4">
        <v>40</v>
      </c>
      <c r="H640" s="4">
        <v>320</v>
      </c>
      <c r="I640" s="4">
        <v>12800</v>
      </c>
      <c r="J640" s="4">
        <f>Table1[[#This Row],[Total Sale]]*0.2</f>
        <v>2560</v>
      </c>
      <c r="K640" s="4" t="s">
        <v>21</v>
      </c>
    </row>
    <row r="641" spans="3:11" x14ac:dyDescent="0.3">
      <c r="C641" s="3">
        <v>45553</v>
      </c>
      <c r="D641" s="3" t="s">
        <v>38</v>
      </c>
      <c r="E641" s="4" t="s">
        <v>10</v>
      </c>
      <c r="F641" s="4" t="s">
        <v>57</v>
      </c>
      <c r="G641" s="4">
        <v>10</v>
      </c>
      <c r="H641" s="4">
        <v>498</v>
      </c>
      <c r="I641" s="4">
        <v>4980</v>
      </c>
      <c r="J641" s="4">
        <f>Table1[[#This Row],[Total Sale]]*0.2</f>
        <v>996</v>
      </c>
      <c r="K641" s="4" t="s">
        <v>8</v>
      </c>
    </row>
    <row r="642" spans="3:11" x14ac:dyDescent="0.3">
      <c r="C642" s="3">
        <v>45553</v>
      </c>
      <c r="D642" s="3" t="s">
        <v>38</v>
      </c>
      <c r="E642" s="4" t="s">
        <v>16</v>
      </c>
      <c r="F642" s="4" t="s">
        <v>69</v>
      </c>
      <c r="G642" s="4">
        <v>42</v>
      </c>
      <c r="H642" s="4">
        <v>321</v>
      </c>
      <c r="I642" s="4">
        <v>13482</v>
      </c>
      <c r="J642" s="4">
        <f>Table1[[#This Row],[Total Sale]]*0.2</f>
        <v>2696.4</v>
      </c>
      <c r="K642" s="4" t="s">
        <v>23</v>
      </c>
    </row>
    <row r="643" spans="3:11" x14ac:dyDescent="0.3">
      <c r="C643" s="3">
        <v>45552</v>
      </c>
      <c r="D643" s="3" t="s">
        <v>43</v>
      </c>
      <c r="E643" s="4" t="s">
        <v>26</v>
      </c>
      <c r="F643" s="4" t="s">
        <v>58</v>
      </c>
      <c r="G643" s="4">
        <v>30</v>
      </c>
      <c r="H643" s="4">
        <v>482</v>
      </c>
      <c r="I643" s="4">
        <v>14460</v>
      </c>
      <c r="J643" s="4">
        <f>Table1[[#This Row],[Total Sale]]*0.2</f>
        <v>2892</v>
      </c>
      <c r="K643" s="4" t="s">
        <v>22</v>
      </c>
    </row>
    <row r="644" spans="3:11" x14ac:dyDescent="0.3">
      <c r="C644" s="3">
        <v>45552</v>
      </c>
      <c r="D644" s="3" t="s">
        <v>42</v>
      </c>
      <c r="E644" s="4" t="s">
        <v>29</v>
      </c>
      <c r="F644" s="4" t="s">
        <v>53</v>
      </c>
      <c r="G644" s="4">
        <v>13</v>
      </c>
      <c r="H644" s="4">
        <v>350</v>
      </c>
      <c r="I644" s="4">
        <v>4550</v>
      </c>
      <c r="J644" s="4">
        <f>Table1[[#This Row],[Total Sale]]*0.2</f>
        <v>910</v>
      </c>
      <c r="K644" s="4" t="s">
        <v>8</v>
      </c>
    </row>
    <row r="645" spans="3:11" x14ac:dyDescent="0.3">
      <c r="C645" s="3">
        <v>45551</v>
      </c>
      <c r="D645" s="3" t="s">
        <v>38</v>
      </c>
      <c r="E645" s="4" t="s">
        <v>11</v>
      </c>
      <c r="F645" s="4" t="s">
        <v>57</v>
      </c>
      <c r="G645" s="4">
        <v>23</v>
      </c>
      <c r="H645" s="4">
        <v>366</v>
      </c>
      <c r="I645" s="4">
        <v>8418</v>
      </c>
      <c r="J645" s="4">
        <f>Table1[[#This Row],[Total Sale]]*0.2</f>
        <v>1683.6000000000001</v>
      </c>
      <c r="K645" s="4" t="s">
        <v>22</v>
      </c>
    </row>
    <row r="646" spans="3:11" x14ac:dyDescent="0.3">
      <c r="C646" s="3">
        <v>45548</v>
      </c>
      <c r="D646" s="3" t="s">
        <v>37</v>
      </c>
      <c r="E646" s="4" t="s">
        <v>27</v>
      </c>
      <c r="F646" s="4" t="s">
        <v>66</v>
      </c>
      <c r="G646" s="4">
        <v>17</v>
      </c>
      <c r="H646" s="4">
        <v>473</v>
      </c>
      <c r="I646" s="4">
        <v>8041</v>
      </c>
      <c r="J646" s="4">
        <f>Table1[[#This Row],[Total Sale]]*0.2</f>
        <v>1608.2</v>
      </c>
      <c r="K646" s="4" t="s">
        <v>9</v>
      </c>
    </row>
    <row r="647" spans="3:11" x14ac:dyDescent="0.3">
      <c r="C647" s="3">
        <v>45548</v>
      </c>
      <c r="D647" s="3" t="s">
        <v>45</v>
      </c>
      <c r="E647" s="4" t="s">
        <v>25</v>
      </c>
      <c r="F647" s="4" t="s">
        <v>61</v>
      </c>
      <c r="G647" s="4">
        <v>22</v>
      </c>
      <c r="H647" s="4">
        <v>228</v>
      </c>
      <c r="I647" s="4">
        <v>5016</v>
      </c>
      <c r="J647" s="4">
        <f>Table1[[#This Row],[Total Sale]]*0.2</f>
        <v>1003.2</v>
      </c>
      <c r="K647" s="4" t="s">
        <v>14</v>
      </c>
    </row>
    <row r="648" spans="3:11" x14ac:dyDescent="0.3">
      <c r="C648" s="3">
        <v>45546</v>
      </c>
      <c r="D648" s="3" t="s">
        <v>33</v>
      </c>
      <c r="E648" s="4" t="s">
        <v>10</v>
      </c>
      <c r="F648" s="4" t="s">
        <v>66</v>
      </c>
      <c r="G648" s="4">
        <v>15</v>
      </c>
      <c r="H648" s="4">
        <v>448</v>
      </c>
      <c r="I648" s="4">
        <v>6720</v>
      </c>
      <c r="J648" s="4">
        <f>Table1[[#This Row],[Total Sale]]*0.2</f>
        <v>1344</v>
      </c>
      <c r="K648" s="4" t="s">
        <v>9</v>
      </c>
    </row>
    <row r="649" spans="3:11" x14ac:dyDescent="0.3">
      <c r="C649" s="3">
        <v>45545</v>
      </c>
      <c r="D649" s="3" t="s">
        <v>48</v>
      </c>
      <c r="E649" s="4" t="s">
        <v>27</v>
      </c>
      <c r="F649" s="4" t="s">
        <v>62</v>
      </c>
      <c r="G649" s="4">
        <v>42</v>
      </c>
      <c r="H649" s="4">
        <v>314</v>
      </c>
      <c r="I649" s="4">
        <v>13188</v>
      </c>
      <c r="J649" s="4">
        <f>Table1[[#This Row],[Total Sale]]*0.2</f>
        <v>2637.6000000000004</v>
      </c>
      <c r="K649" s="4" t="s">
        <v>28</v>
      </c>
    </row>
    <row r="650" spans="3:11" x14ac:dyDescent="0.3">
      <c r="C650" s="3">
        <v>45545</v>
      </c>
      <c r="D650" s="3" t="s">
        <v>36</v>
      </c>
      <c r="E650" s="4" t="s">
        <v>6</v>
      </c>
      <c r="F650" s="4" t="s">
        <v>63</v>
      </c>
      <c r="G650" s="4">
        <v>27</v>
      </c>
      <c r="H650" s="4">
        <v>390</v>
      </c>
      <c r="I650" s="4">
        <v>10530</v>
      </c>
      <c r="J650" s="4">
        <f>Table1[[#This Row],[Total Sale]]*0.2</f>
        <v>2106</v>
      </c>
      <c r="K650" s="4" t="s">
        <v>24</v>
      </c>
    </row>
    <row r="651" spans="3:11" x14ac:dyDescent="0.3">
      <c r="C651" s="3">
        <v>45545</v>
      </c>
      <c r="D651" s="3" t="s">
        <v>41</v>
      </c>
      <c r="E651" s="4" t="s">
        <v>6</v>
      </c>
      <c r="F651" s="4" t="s">
        <v>51</v>
      </c>
      <c r="G651" s="4">
        <v>12</v>
      </c>
      <c r="H651" s="4">
        <v>310</v>
      </c>
      <c r="I651" s="4">
        <v>3720</v>
      </c>
      <c r="J651" s="4">
        <f>Table1[[#This Row],[Total Sale]]*0.2</f>
        <v>744</v>
      </c>
      <c r="K651" s="4" t="s">
        <v>12</v>
      </c>
    </row>
    <row r="652" spans="3:11" x14ac:dyDescent="0.3">
      <c r="C652" s="3">
        <v>45544</v>
      </c>
      <c r="D652" s="3" t="s">
        <v>50</v>
      </c>
      <c r="E652" s="4" t="s">
        <v>6</v>
      </c>
      <c r="F652" s="4" t="s">
        <v>53</v>
      </c>
      <c r="G652" s="4">
        <v>19</v>
      </c>
      <c r="H652" s="4">
        <v>322</v>
      </c>
      <c r="I652" s="4">
        <v>6118</v>
      </c>
      <c r="J652" s="4">
        <f>Table1[[#This Row],[Total Sale]]*0.2</f>
        <v>1223.6000000000001</v>
      </c>
      <c r="K652" s="4" t="s">
        <v>8</v>
      </c>
    </row>
    <row r="653" spans="3:11" x14ac:dyDescent="0.3">
      <c r="C653" s="3">
        <v>45544</v>
      </c>
      <c r="D653" s="3" t="s">
        <v>36</v>
      </c>
      <c r="E653" s="4" t="s">
        <v>6</v>
      </c>
      <c r="F653" s="4" t="s">
        <v>58</v>
      </c>
      <c r="G653" s="4">
        <v>29</v>
      </c>
      <c r="H653" s="4">
        <v>285</v>
      </c>
      <c r="I653" s="4">
        <v>8265</v>
      </c>
      <c r="J653" s="4">
        <f>Table1[[#This Row],[Total Sale]]*0.2</f>
        <v>1653</v>
      </c>
      <c r="K653" s="4" t="s">
        <v>22</v>
      </c>
    </row>
    <row r="654" spans="3:11" x14ac:dyDescent="0.3">
      <c r="C654" s="3">
        <v>45542</v>
      </c>
      <c r="D654" s="3" t="s">
        <v>41</v>
      </c>
      <c r="E654" s="4" t="s">
        <v>18</v>
      </c>
      <c r="F654" s="4" t="s">
        <v>64</v>
      </c>
      <c r="G654" s="4">
        <v>21</v>
      </c>
      <c r="H654" s="4">
        <v>342</v>
      </c>
      <c r="I654" s="4">
        <v>7182</v>
      </c>
      <c r="J654" s="4">
        <f>Table1[[#This Row],[Total Sale]]*0.2</f>
        <v>1436.4</v>
      </c>
      <c r="K654" s="4" t="s">
        <v>23</v>
      </c>
    </row>
    <row r="655" spans="3:11" x14ac:dyDescent="0.3">
      <c r="C655" s="3">
        <v>45541</v>
      </c>
      <c r="D655" s="3" t="s">
        <v>35</v>
      </c>
      <c r="E655" s="4" t="s">
        <v>13</v>
      </c>
      <c r="F655" s="4" t="s">
        <v>64</v>
      </c>
      <c r="G655" s="4">
        <v>44</v>
      </c>
      <c r="H655" s="4">
        <v>471</v>
      </c>
      <c r="I655" s="4">
        <v>20724</v>
      </c>
      <c r="J655" s="4">
        <f>Table1[[#This Row],[Total Sale]]*0.2</f>
        <v>4144.8</v>
      </c>
      <c r="K655" s="4" t="s">
        <v>7</v>
      </c>
    </row>
    <row r="656" spans="3:11" x14ac:dyDescent="0.3">
      <c r="C656" s="3">
        <v>45541</v>
      </c>
      <c r="D656" s="3" t="s">
        <v>43</v>
      </c>
      <c r="E656" s="4" t="s">
        <v>6</v>
      </c>
      <c r="F656" s="4" t="s">
        <v>69</v>
      </c>
      <c r="G656" s="4">
        <v>22</v>
      </c>
      <c r="H656" s="4">
        <v>384</v>
      </c>
      <c r="I656" s="4">
        <v>8448</v>
      </c>
      <c r="J656" s="4">
        <f>Table1[[#This Row],[Total Sale]]*0.2</f>
        <v>1689.6000000000001</v>
      </c>
      <c r="K656" s="4" t="s">
        <v>17</v>
      </c>
    </row>
    <row r="657" spans="3:11" x14ac:dyDescent="0.3">
      <c r="C657" s="3">
        <v>45540</v>
      </c>
      <c r="D657" s="3" t="s">
        <v>41</v>
      </c>
      <c r="E657" s="4" t="s">
        <v>25</v>
      </c>
      <c r="F657" s="4" t="s">
        <v>67</v>
      </c>
      <c r="G657" s="4">
        <v>45</v>
      </c>
      <c r="H657" s="4">
        <v>383</v>
      </c>
      <c r="I657" s="4">
        <v>17235</v>
      </c>
      <c r="J657" s="4">
        <f>Table1[[#This Row],[Total Sale]]*0.2</f>
        <v>3447</v>
      </c>
      <c r="K657" s="4" t="s">
        <v>22</v>
      </c>
    </row>
    <row r="658" spans="3:11" x14ac:dyDescent="0.3">
      <c r="C658" s="3">
        <v>45540</v>
      </c>
      <c r="D658" s="3" t="s">
        <v>45</v>
      </c>
      <c r="E658" s="4" t="s">
        <v>25</v>
      </c>
      <c r="F658" s="4" t="s">
        <v>56</v>
      </c>
      <c r="G658" s="4">
        <v>46</v>
      </c>
      <c r="H658" s="4">
        <v>301</v>
      </c>
      <c r="I658" s="4">
        <v>13846</v>
      </c>
      <c r="J658" s="4">
        <f>Table1[[#This Row],[Total Sale]]*0.2</f>
        <v>2769.2000000000003</v>
      </c>
      <c r="K658" s="4" t="s">
        <v>17</v>
      </c>
    </row>
    <row r="659" spans="3:11" x14ac:dyDescent="0.3">
      <c r="C659" s="3">
        <v>45539</v>
      </c>
      <c r="D659" s="3" t="s">
        <v>33</v>
      </c>
      <c r="E659" s="4" t="s">
        <v>10</v>
      </c>
      <c r="F659" s="4" t="s">
        <v>63</v>
      </c>
      <c r="G659" s="4">
        <v>49</v>
      </c>
      <c r="H659" s="4">
        <v>261</v>
      </c>
      <c r="I659" s="4">
        <v>12789</v>
      </c>
      <c r="J659" s="4">
        <f>Table1[[#This Row],[Total Sale]]*0.2</f>
        <v>2557.8000000000002</v>
      </c>
      <c r="K659" s="4" t="s">
        <v>7</v>
      </c>
    </row>
    <row r="660" spans="3:11" x14ac:dyDescent="0.3">
      <c r="C660" s="3">
        <v>45538</v>
      </c>
      <c r="D660" s="3" t="s">
        <v>44</v>
      </c>
      <c r="E660" s="4" t="s">
        <v>25</v>
      </c>
      <c r="F660" s="4" t="s">
        <v>56</v>
      </c>
      <c r="G660" s="4">
        <v>38</v>
      </c>
      <c r="H660" s="4">
        <v>439</v>
      </c>
      <c r="I660" s="4">
        <v>16682</v>
      </c>
      <c r="J660" s="4">
        <f>Table1[[#This Row],[Total Sale]]*0.2</f>
        <v>3336.4</v>
      </c>
      <c r="K660" s="4" t="s">
        <v>14</v>
      </c>
    </row>
    <row r="661" spans="3:11" x14ac:dyDescent="0.3">
      <c r="C661" s="3">
        <v>45536</v>
      </c>
      <c r="D661" s="3" t="s">
        <v>42</v>
      </c>
      <c r="E661" s="4" t="s">
        <v>6</v>
      </c>
      <c r="F661" s="4" t="s">
        <v>53</v>
      </c>
      <c r="G661" s="4">
        <v>40</v>
      </c>
      <c r="H661" s="4">
        <v>286</v>
      </c>
      <c r="I661" s="4">
        <v>11440</v>
      </c>
      <c r="J661" s="4">
        <f>Table1[[#This Row],[Total Sale]]*0.2</f>
        <v>2288</v>
      </c>
      <c r="K661" s="4" t="s">
        <v>17</v>
      </c>
    </row>
    <row r="662" spans="3:11" x14ac:dyDescent="0.3">
      <c r="C662" s="3">
        <v>45535</v>
      </c>
      <c r="D662" s="3" t="s">
        <v>36</v>
      </c>
      <c r="E662" s="4" t="s">
        <v>6</v>
      </c>
      <c r="F662" s="4" t="s">
        <v>65</v>
      </c>
      <c r="G662" s="4">
        <v>15</v>
      </c>
      <c r="H662" s="4">
        <v>413</v>
      </c>
      <c r="I662" s="4">
        <v>6195</v>
      </c>
      <c r="J662" s="4">
        <f>Table1[[#This Row],[Total Sale]]*0.2</f>
        <v>1239</v>
      </c>
      <c r="K662" s="4" t="s">
        <v>21</v>
      </c>
    </row>
    <row r="663" spans="3:11" x14ac:dyDescent="0.3">
      <c r="C663" s="3">
        <v>45533</v>
      </c>
      <c r="D663" s="3" t="s">
        <v>38</v>
      </c>
      <c r="E663" s="4" t="s">
        <v>6</v>
      </c>
      <c r="F663" s="4" t="s">
        <v>62</v>
      </c>
      <c r="G663" s="4">
        <v>24</v>
      </c>
      <c r="H663" s="4">
        <v>456</v>
      </c>
      <c r="I663" s="4">
        <v>10944</v>
      </c>
      <c r="J663" s="4">
        <f>Table1[[#This Row],[Total Sale]]*0.2</f>
        <v>2188.8000000000002</v>
      </c>
      <c r="K663" s="4" t="s">
        <v>15</v>
      </c>
    </row>
    <row r="664" spans="3:11" x14ac:dyDescent="0.3">
      <c r="C664" s="3">
        <v>45532</v>
      </c>
      <c r="D664" s="3" t="s">
        <v>39</v>
      </c>
      <c r="E664" s="4" t="s">
        <v>27</v>
      </c>
      <c r="F664" s="4" t="s">
        <v>67</v>
      </c>
      <c r="G664" s="4">
        <v>38</v>
      </c>
      <c r="H664" s="4">
        <v>430</v>
      </c>
      <c r="I664" s="4">
        <v>16340</v>
      </c>
      <c r="J664" s="4">
        <f>Table1[[#This Row],[Total Sale]]*0.2</f>
        <v>3268</v>
      </c>
      <c r="K664" s="4" t="s">
        <v>23</v>
      </c>
    </row>
    <row r="665" spans="3:11" x14ac:dyDescent="0.3">
      <c r="C665" s="3">
        <v>45532</v>
      </c>
      <c r="D665" s="3" t="s">
        <v>47</v>
      </c>
      <c r="E665" s="4" t="s">
        <v>25</v>
      </c>
      <c r="F665" s="4" t="s">
        <v>63</v>
      </c>
      <c r="G665" s="4">
        <v>37</v>
      </c>
      <c r="H665" s="4">
        <v>496</v>
      </c>
      <c r="I665" s="4">
        <v>18352</v>
      </c>
      <c r="J665" s="4">
        <f>Table1[[#This Row],[Total Sale]]*0.2</f>
        <v>3670.4</v>
      </c>
      <c r="K665" s="4" t="s">
        <v>7</v>
      </c>
    </row>
    <row r="666" spans="3:11" x14ac:dyDescent="0.3">
      <c r="C666" s="3">
        <v>45532</v>
      </c>
      <c r="D666" s="3" t="s">
        <v>45</v>
      </c>
      <c r="E666" s="4" t="s">
        <v>10</v>
      </c>
      <c r="F666" s="4" t="s">
        <v>63</v>
      </c>
      <c r="G666" s="4">
        <v>20</v>
      </c>
      <c r="H666" s="4">
        <v>312</v>
      </c>
      <c r="I666" s="4">
        <v>6240</v>
      </c>
      <c r="J666" s="4">
        <f>Table1[[#This Row],[Total Sale]]*0.2</f>
        <v>1248</v>
      </c>
      <c r="K666" s="4" t="s">
        <v>24</v>
      </c>
    </row>
    <row r="667" spans="3:11" x14ac:dyDescent="0.3">
      <c r="C667" s="3">
        <v>45532</v>
      </c>
      <c r="D667" s="3" t="s">
        <v>35</v>
      </c>
      <c r="E667" s="4" t="s">
        <v>10</v>
      </c>
      <c r="F667" s="4" t="s">
        <v>58</v>
      </c>
      <c r="G667" s="4">
        <v>36</v>
      </c>
      <c r="H667" s="4">
        <v>253</v>
      </c>
      <c r="I667" s="4">
        <v>9108</v>
      </c>
      <c r="J667" s="4">
        <f>Table1[[#This Row],[Total Sale]]*0.2</f>
        <v>1821.6000000000001</v>
      </c>
      <c r="K667" s="4" t="s">
        <v>17</v>
      </c>
    </row>
    <row r="668" spans="3:11" x14ac:dyDescent="0.3">
      <c r="C668" s="3">
        <v>45532</v>
      </c>
      <c r="D668" s="3" t="s">
        <v>35</v>
      </c>
      <c r="E668" s="4" t="s">
        <v>6</v>
      </c>
      <c r="F668" s="4" t="s">
        <v>59</v>
      </c>
      <c r="G668" s="4">
        <v>33</v>
      </c>
      <c r="H668" s="4">
        <v>442</v>
      </c>
      <c r="I668" s="4">
        <v>14586</v>
      </c>
      <c r="J668" s="4">
        <f>Table1[[#This Row],[Total Sale]]*0.2</f>
        <v>2917.2000000000003</v>
      </c>
      <c r="K668" s="4" t="s">
        <v>9</v>
      </c>
    </row>
    <row r="669" spans="3:11" x14ac:dyDescent="0.3">
      <c r="C669" s="3">
        <v>45531</v>
      </c>
      <c r="D669" s="3" t="s">
        <v>46</v>
      </c>
      <c r="E669" s="4" t="s">
        <v>26</v>
      </c>
      <c r="F669" s="4" t="s">
        <v>60</v>
      </c>
      <c r="G669" s="4">
        <v>33</v>
      </c>
      <c r="H669" s="4">
        <v>267</v>
      </c>
      <c r="I669" s="4">
        <v>8811</v>
      </c>
      <c r="J669" s="4">
        <f>Table1[[#This Row],[Total Sale]]*0.2</f>
        <v>1762.2</v>
      </c>
      <c r="K669" s="4" t="s">
        <v>19</v>
      </c>
    </row>
    <row r="670" spans="3:11" x14ac:dyDescent="0.3">
      <c r="C670" s="3">
        <v>45530</v>
      </c>
      <c r="D670" s="3" t="s">
        <v>47</v>
      </c>
      <c r="E670" s="4" t="s">
        <v>26</v>
      </c>
      <c r="F670" s="4" t="s">
        <v>54</v>
      </c>
      <c r="G670" s="4">
        <v>26</v>
      </c>
      <c r="H670" s="4">
        <v>351</v>
      </c>
      <c r="I670" s="4">
        <v>9126</v>
      </c>
      <c r="J670" s="4">
        <f>Table1[[#This Row],[Total Sale]]*0.2</f>
        <v>1825.2</v>
      </c>
      <c r="K670" s="4" t="s">
        <v>15</v>
      </c>
    </row>
    <row r="671" spans="3:11" x14ac:dyDescent="0.3">
      <c r="C671" s="3">
        <v>45530</v>
      </c>
      <c r="D671" s="3" t="s">
        <v>35</v>
      </c>
      <c r="E671" s="4" t="s">
        <v>10</v>
      </c>
      <c r="F671" s="4" t="s">
        <v>68</v>
      </c>
      <c r="G671" s="4">
        <v>38</v>
      </c>
      <c r="H671" s="4">
        <v>280</v>
      </c>
      <c r="I671" s="4">
        <v>10640</v>
      </c>
      <c r="J671" s="4">
        <f>Table1[[#This Row],[Total Sale]]*0.2</f>
        <v>2128</v>
      </c>
      <c r="K671" s="4" t="s">
        <v>20</v>
      </c>
    </row>
    <row r="672" spans="3:11" x14ac:dyDescent="0.3">
      <c r="C672" s="3">
        <v>45529</v>
      </c>
      <c r="D672" s="3" t="s">
        <v>37</v>
      </c>
      <c r="E672" s="4" t="s">
        <v>6</v>
      </c>
      <c r="F672" s="4" t="s">
        <v>56</v>
      </c>
      <c r="G672" s="4">
        <v>29</v>
      </c>
      <c r="H672" s="4">
        <v>475</v>
      </c>
      <c r="I672" s="4">
        <v>13775</v>
      </c>
      <c r="J672" s="4">
        <f>Table1[[#This Row],[Total Sale]]*0.2</f>
        <v>2755</v>
      </c>
      <c r="K672" s="4" t="s">
        <v>7</v>
      </c>
    </row>
    <row r="673" spans="3:11" x14ac:dyDescent="0.3">
      <c r="C673" s="3">
        <v>45529</v>
      </c>
      <c r="D673" s="3" t="s">
        <v>49</v>
      </c>
      <c r="E673" s="4" t="s">
        <v>18</v>
      </c>
      <c r="F673" s="4" t="s">
        <v>57</v>
      </c>
      <c r="G673" s="4">
        <v>33</v>
      </c>
      <c r="H673" s="4">
        <v>280</v>
      </c>
      <c r="I673" s="4">
        <v>9240</v>
      </c>
      <c r="J673" s="4">
        <f>Table1[[#This Row],[Total Sale]]*0.2</f>
        <v>1848</v>
      </c>
      <c r="K673" s="4" t="s">
        <v>23</v>
      </c>
    </row>
    <row r="674" spans="3:11" x14ac:dyDescent="0.3">
      <c r="C674" s="3">
        <v>45528</v>
      </c>
      <c r="D674" s="3" t="s">
        <v>41</v>
      </c>
      <c r="E674" s="4" t="s">
        <v>11</v>
      </c>
      <c r="F674" s="4" t="s">
        <v>55</v>
      </c>
      <c r="G674" s="4">
        <v>26</v>
      </c>
      <c r="H674" s="4">
        <v>470</v>
      </c>
      <c r="I674" s="4">
        <v>12220</v>
      </c>
      <c r="J674" s="4">
        <f>Table1[[#This Row],[Total Sale]]*0.2</f>
        <v>2444</v>
      </c>
      <c r="K674" s="4" t="s">
        <v>19</v>
      </c>
    </row>
    <row r="675" spans="3:11" x14ac:dyDescent="0.3">
      <c r="C675" s="3">
        <v>45528</v>
      </c>
      <c r="D675" s="3" t="s">
        <v>35</v>
      </c>
      <c r="E675" s="4" t="s">
        <v>6</v>
      </c>
      <c r="F675" s="4" t="s">
        <v>69</v>
      </c>
      <c r="G675" s="4">
        <v>19</v>
      </c>
      <c r="H675" s="4">
        <v>366</v>
      </c>
      <c r="I675" s="4">
        <v>6954</v>
      </c>
      <c r="J675" s="4">
        <f>Table1[[#This Row],[Total Sale]]*0.2</f>
        <v>1390.8000000000002</v>
      </c>
      <c r="K675" s="4" t="s">
        <v>21</v>
      </c>
    </row>
    <row r="676" spans="3:11" x14ac:dyDescent="0.3">
      <c r="C676" s="3">
        <v>45527</v>
      </c>
      <c r="D676" s="3" t="s">
        <v>48</v>
      </c>
      <c r="E676" s="4" t="s">
        <v>25</v>
      </c>
      <c r="F676" s="4" t="s">
        <v>69</v>
      </c>
      <c r="G676" s="4">
        <v>22</v>
      </c>
      <c r="H676" s="4">
        <v>320</v>
      </c>
      <c r="I676" s="4">
        <v>7040</v>
      </c>
      <c r="J676" s="4">
        <f>Table1[[#This Row],[Total Sale]]*0.2</f>
        <v>1408</v>
      </c>
      <c r="K676" s="4" t="s">
        <v>14</v>
      </c>
    </row>
    <row r="677" spans="3:11" x14ac:dyDescent="0.3">
      <c r="C677" s="3">
        <v>45524</v>
      </c>
      <c r="D677" s="3" t="s">
        <v>43</v>
      </c>
      <c r="E677" s="4" t="s">
        <v>10</v>
      </c>
      <c r="F677" s="4" t="s">
        <v>69</v>
      </c>
      <c r="G677" s="4">
        <v>50</v>
      </c>
      <c r="H677" s="4">
        <v>474</v>
      </c>
      <c r="I677" s="4">
        <v>23700</v>
      </c>
      <c r="J677" s="4">
        <f>Table1[[#This Row],[Total Sale]]*0.2</f>
        <v>4740</v>
      </c>
      <c r="K677" s="4" t="s">
        <v>17</v>
      </c>
    </row>
    <row r="678" spans="3:11" x14ac:dyDescent="0.3">
      <c r="C678" s="3">
        <v>45524</v>
      </c>
      <c r="D678" s="3" t="s">
        <v>39</v>
      </c>
      <c r="E678" s="4" t="s">
        <v>10</v>
      </c>
      <c r="F678" s="4" t="s">
        <v>51</v>
      </c>
      <c r="G678" s="4">
        <v>12</v>
      </c>
      <c r="H678" s="4">
        <v>297</v>
      </c>
      <c r="I678" s="4">
        <v>3564</v>
      </c>
      <c r="J678" s="4">
        <f>Table1[[#This Row],[Total Sale]]*0.2</f>
        <v>712.80000000000007</v>
      </c>
      <c r="K678" s="4" t="s">
        <v>7</v>
      </c>
    </row>
    <row r="679" spans="3:11" x14ac:dyDescent="0.3">
      <c r="C679" s="3">
        <v>45524</v>
      </c>
      <c r="D679" s="3" t="s">
        <v>35</v>
      </c>
      <c r="E679" s="4" t="s">
        <v>13</v>
      </c>
      <c r="F679" s="4" t="s">
        <v>52</v>
      </c>
      <c r="G679" s="4">
        <v>15</v>
      </c>
      <c r="H679" s="4">
        <v>410</v>
      </c>
      <c r="I679" s="4">
        <v>6150</v>
      </c>
      <c r="J679" s="4">
        <f>Table1[[#This Row],[Total Sale]]*0.2</f>
        <v>1230</v>
      </c>
      <c r="K679" s="4" t="s">
        <v>20</v>
      </c>
    </row>
    <row r="680" spans="3:11" x14ac:dyDescent="0.3">
      <c r="C680" s="3">
        <v>45523</v>
      </c>
      <c r="D680" s="3" t="s">
        <v>40</v>
      </c>
      <c r="E680" s="4" t="s">
        <v>11</v>
      </c>
      <c r="F680" s="4" t="s">
        <v>66</v>
      </c>
      <c r="G680" s="4">
        <v>42</v>
      </c>
      <c r="H680" s="4">
        <v>436</v>
      </c>
      <c r="I680" s="4">
        <v>18312</v>
      </c>
      <c r="J680" s="4">
        <f>Table1[[#This Row],[Total Sale]]*0.2</f>
        <v>3662.4</v>
      </c>
      <c r="K680" s="4" t="s">
        <v>9</v>
      </c>
    </row>
    <row r="681" spans="3:11" x14ac:dyDescent="0.3">
      <c r="C681" s="3">
        <v>45522</v>
      </c>
      <c r="D681" s="3" t="s">
        <v>39</v>
      </c>
      <c r="E681" s="4" t="s">
        <v>10</v>
      </c>
      <c r="F681" s="4" t="s">
        <v>51</v>
      </c>
      <c r="G681" s="4">
        <v>46</v>
      </c>
      <c r="H681" s="4">
        <v>294</v>
      </c>
      <c r="I681" s="4">
        <v>13524</v>
      </c>
      <c r="J681" s="4">
        <f>Table1[[#This Row],[Total Sale]]*0.2</f>
        <v>2704.8</v>
      </c>
      <c r="K681" s="4" t="s">
        <v>14</v>
      </c>
    </row>
    <row r="682" spans="3:11" x14ac:dyDescent="0.3">
      <c r="C682" s="3">
        <v>45521</v>
      </c>
      <c r="D682" s="3" t="s">
        <v>45</v>
      </c>
      <c r="E682" s="4" t="s">
        <v>25</v>
      </c>
      <c r="F682" s="4" t="s">
        <v>57</v>
      </c>
      <c r="G682" s="4">
        <v>29</v>
      </c>
      <c r="H682" s="4">
        <v>473</v>
      </c>
      <c r="I682" s="4">
        <v>13717</v>
      </c>
      <c r="J682" s="4">
        <f>Table1[[#This Row],[Total Sale]]*0.2</f>
        <v>2743.4</v>
      </c>
      <c r="K682" s="4" t="s">
        <v>7</v>
      </c>
    </row>
    <row r="683" spans="3:11" x14ac:dyDescent="0.3">
      <c r="C683" s="3">
        <v>45520</v>
      </c>
      <c r="D683" s="3" t="s">
        <v>33</v>
      </c>
      <c r="E683" s="4" t="s">
        <v>16</v>
      </c>
      <c r="F683" s="4" t="s">
        <v>59</v>
      </c>
      <c r="G683" s="4">
        <v>50</v>
      </c>
      <c r="H683" s="4">
        <v>294</v>
      </c>
      <c r="I683" s="4">
        <v>14700</v>
      </c>
      <c r="J683" s="4">
        <f>Table1[[#This Row],[Total Sale]]*0.2</f>
        <v>2940</v>
      </c>
      <c r="K683" s="4" t="s">
        <v>15</v>
      </c>
    </row>
    <row r="684" spans="3:11" x14ac:dyDescent="0.3">
      <c r="C684" s="3">
        <v>45520</v>
      </c>
      <c r="D684" s="3" t="s">
        <v>39</v>
      </c>
      <c r="E684" s="4" t="s">
        <v>29</v>
      </c>
      <c r="F684" s="4" t="s">
        <v>59</v>
      </c>
      <c r="G684" s="4">
        <v>16</v>
      </c>
      <c r="H684" s="4">
        <v>474</v>
      </c>
      <c r="I684" s="4">
        <v>7584</v>
      </c>
      <c r="J684" s="4">
        <f>Table1[[#This Row],[Total Sale]]*0.2</f>
        <v>1516.8000000000002</v>
      </c>
      <c r="K684" s="4" t="s">
        <v>23</v>
      </c>
    </row>
    <row r="685" spans="3:11" x14ac:dyDescent="0.3">
      <c r="C685" s="3">
        <v>45519</v>
      </c>
      <c r="D685" s="3" t="s">
        <v>44</v>
      </c>
      <c r="E685" s="4" t="s">
        <v>26</v>
      </c>
      <c r="F685" s="4" t="s">
        <v>66</v>
      </c>
      <c r="G685" s="4">
        <v>34</v>
      </c>
      <c r="H685" s="4">
        <v>500</v>
      </c>
      <c r="I685" s="4">
        <v>17000</v>
      </c>
      <c r="J685" s="4">
        <f>Table1[[#This Row],[Total Sale]]*0.2</f>
        <v>3400</v>
      </c>
      <c r="K685" s="4" t="s">
        <v>23</v>
      </c>
    </row>
    <row r="686" spans="3:11" x14ac:dyDescent="0.3">
      <c r="C686" s="3">
        <v>45517</v>
      </c>
      <c r="D686" s="3" t="s">
        <v>46</v>
      </c>
      <c r="E686" s="4" t="s">
        <v>25</v>
      </c>
      <c r="F686" s="4" t="s">
        <v>52</v>
      </c>
      <c r="G686" s="4">
        <v>47</v>
      </c>
      <c r="H686" s="4">
        <v>224</v>
      </c>
      <c r="I686" s="4">
        <v>10528</v>
      </c>
      <c r="J686" s="4">
        <f>Table1[[#This Row],[Total Sale]]*0.2</f>
        <v>2105.6</v>
      </c>
      <c r="K686" s="4" t="s">
        <v>19</v>
      </c>
    </row>
    <row r="687" spans="3:11" x14ac:dyDescent="0.3">
      <c r="C687" s="3">
        <v>45517</v>
      </c>
      <c r="D687" s="3" t="s">
        <v>49</v>
      </c>
      <c r="E687" s="4" t="s">
        <v>13</v>
      </c>
      <c r="F687" s="4" t="s">
        <v>52</v>
      </c>
      <c r="G687" s="4">
        <v>42</v>
      </c>
      <c r="H687" s="4">
        <v>441</v>
      </c>
      <c r="I687" s="4">
        <v>18522</v>
      </c>
      <c r="J687" s="4">
        <f>Table1[[#This Row],[Total Sale]]*0.2</f>
        <v>3704.4</v>
      </c>
      <c r="K687" s="4" t="s">
        <v>7</v>
      </c>
    </row>
    <row r="688" spans="3:11" x14ac:dyDescent="0.3">
      <c r="C688" s="3">
        <v>45517</v>
      </c>
      <c r="D688" s="3" t="s">
        <v>31</v>
      </c>
      <c r="E688" s="4" t="s">
        <v>18</v>
      </c>
      <c r="F688" s="4" t="s">
        <v>67</v>
      </c>
      <c r="G688" s="4">
        <v>19</v>
      </c>
      <c r="H688" s="4">
        <v>414</v>
      </c>
      <c r="I688" s="4">
        <v>7866</v>
      </c>
      <c r="J688" s="4">
        <f>Table1[[#This Row],[Total Sale]]*0.2</f>
        <v>1573.2</v>
      </c>
      <c r="K688" s="4" t="s">
        <v>23</v>
      </c>
    </row>
    <row r="689" spans="3:11" x14ac:dyDescent="0.3">
      <c r="C689" s="3">
        <v>45517</v>
      </c>
      <c r="D689" s="3" t="s">
        <v>46</v>
      </c>
      <c r="E689" s="4" t="s">
        <v>29</v>
      </c>
      <c r="F689" s="4" t="s">
        <v>68</v>
      </c>
      <c r="G689" s="4">
        <v>10</v>
      </c>
      <c r="H689" s="4">
        <v>318</v>
      </c>
      <c r="I689" s="4">
        <v>3180</v>
      </c>
      <c r="J689" s="4">
        <f>Table1[[#This Row],[Total Sale]]*0.2</f>
        <v>636</v>
      </c>
      <c r="K689" s="4" t="s">
        <v>28</v>
      </c>
    </row>
    <row r="690" spans="3:11" x14ac:dyDescent="0.3">
      <c r="C690" s="3">
        <v>45516</v>
      </c>
      <c r="D690" s="3" t="s">
        <v>36</v>
      </c>
      <c r="E690" s="4" t="s">
        <v>25</v>
      </c>
      <c r="F690" s="4" t="s">
        <v>64</v>
      </c>
      <c r="G690" s="4">
        <v>18</v>
      </c>
      <c r="H690" s="4">
        <v>235</v>
      </c>
      <c r="I690" s="4">
        <v>4230</v>
      </c>
      <c r="J690" s="4">
        <f>Table1[[#This Row],[Total Sale]]*0.2</f>
        <v>846</v>
      </c>
      <c r="K690" s="4" t="s">
        <v>7</v>
      </c>
    </row>
    <row r="691" spans="3:11" x14ac:dyDescent="0.3">
      <c r="C691" s="3">
        <v>45516</v>
      </c>
      <c r="D691" s="3" t="s">
        <v>34</v>
      </c>
      <c r="E691" s="4" t="s">
        <v>13</v>
      </c>
      <c r="F691" s="4" t="s">
        <v>64</v>
      </c>
      <c r="G691" s="4">
        <v>42</v>
      </c>
      <c r="H691" s="4">
        <v>386</v>
      </c>
      <c r="I691" s="4">
        <v>16212</v>
      </c>
      <c r="J691" s="4">
        <f>Table1[[#This Row],[Total Sale]]*0.2</f>
        <v>3242.4</v>
      </c>
      <c r="K691" s="4" t="s">
        <v>28</v>
      </c>
    </row>
    <row r="692" spans="3:11" x14ac:dyDescent="0.3">
      <c r="C692" s="3">
        <v>45515</v>
      </c>
      <c r="D692" s="3" t="s">
        <v>32</v>
      </c>
      <c r="E692" s="4" t="s">
        <v>6</v>
      </c>
      <c r="F692" s="4" t="s">
        <v>60</v>
      </c>
      <c r="G692" s="4">
        <v>26</v>
      </c>
      <c r="H692" s="4">
        <v>384</v>
      </c>
      <c r="I692" s="4">
        <v>9984</v>
      </c>
      <c r="J692" s="4">
        <f>Table1[[#This Row],[Total Sale]]*0.2</f>
        <v>1996.8000000000002</v>
      </c>
      <c r="K692" s="4" t="s">
        <v>22</v>
      </c>
    </row>
    <row r="693" spans="3:11" x14ac:dyDescent="0.3">
      <c r="C693" s="3">
        <v>45513</v>
      </c>
      <c r="D693" s="3" t="s">
        <v>43</v>
      </c>
      <c r="E693" s="4" t="s">
        <v>25</v>
      </c>
      <c r="F693" s="4" t="s">
        <v>68</v>
      </c>
      <c r="G693" s="4">
        <v>41</v>
      </c>
      <c r="H693" s="4">
        <v>245</v>
      </c>
      <c r="I693" s="4">
        <v>10045</v>
      </c>
      <c r="J693" s="4">
        <f>Table1[[#This Row],[Total Sale]]*0.2</f>
        <v>2009</v>
      </c>
      <c r="K693" s="4" t="s">
        <v>21</v>
      </c>
    </row>
    <row r="694" spans="3:11" x14ac:dyDescent="0.3">
      <c r="C694" s="3">
        <v>45512</v>
      </c>
      <c r="D694" s="3" t="s">
        <v>48</v>
      </c>
      <c r="E694" s="4" t="s">
        <v>27</v>
      </c>
      <c r="F694" s="4" t="s">
        <v>70</v>
      </c>
      <c r="G694" s="4">
        <v>36</v>
      </c>
      <c r="H694" s="4">
        <v>326</v>
      </c>
      <c r="I694" s="4">
        <v>11736</v>
      </c>
      <c r="J694" s="4">
        <f>Table1[[#This Row],[Total Sale]]*0.2</f>
        <v>2347.2000000000003</v>
      </c>
      <c r="K694" s="4" t="s">
        <v>20</v>
      </c>
    </row>
    <row r="695" spans="3:11" x14ac:dyDescent="0.3">
      <c r="C695" s="3">
        <v>45512</v>
      </c>
      <c r="D695" s="3" t="s">
        <v>46</v>
      </c>
      <c r="E695" s="4" t="s">
        <v>25</v>
      </c>
      <c r="F695" s="4" t="s">
        <v>62</v>
      </c>
      <c r="G695" s="4">
        <v>38</v>
      </c>
      <c r="H695" s="4">
        <v>493</v>
      </c>
      <c r="I695" s="4">
        <v>18734</v>
      </c>
      <c r="J695" s="4">
        <f>Table1[[#This Row],[Total Sale]]*0.2</f>
        <v>3746.8</v>
      </c>
      <c r="K695" s="4" t="s">
        <v>24</v>
      </c>
    </row>
    <row r="696" spans="3:11" x14ac:dyDescent="0.3">
      <c r="C696" s="3">
        <v>45512</v>
      </c>
      <c r="D696" s="3" t="s">
        <v>50</v>
      </c>
      <c r="E696" s="4" t="s">
        <v>11</v>
      </c>
      <c r="F696" s="4" t="s">
        <v>52</v>
      </c>
      <c r="G696" s="4">
        <v>36</v>
      </c>
      <c r="H696" s="4">
        <v>320</v>
      </c>
      <c r="I696" s="4">
        <v>11520</v>
      </c>
      <c r="J696" s="4">
        <f>Table1[[#This Row],[Total Sale]]*0.2</f>
        <v>2304</v>
      </c>
      <c r="K696" s="4" t="s">
        <v>15</v>
      </c>
    </row>
    <row r="697" spans="3:11" x14ac:dyDescent="0.3">
      <c r="C697" s="3">
        <v>45512</v>
      </c>
      <c r="D697" s="3" t="s">
        <v>45</v>
      </c>
      <c r="E697" s="4" t="s">
        <v>13</v>
      </c>
      <c r="F697" s="4" t="s">
        <v>51</v>
      </c>
      <c r="G697" s="4">
        <v>23</v>
      </c>
      <c r="H697" s="4">
        <v>350</v>
      </c>
      <c r="I697" s="4">
        <v>8050</v>
      </c>
      <c r="J697" s="4">
        <f>Table1[[#This Row],[Total Sale]]*0.2</f>
        <v>1610</v>
      </c>
      <c r="K697" s="4" t="s">
        <v>12</v>
      </c>
    </row>
    <row r="698" spans="3:11" x14ac:dyDescent="0.3">
      <c r="C698" s="3">
        <v>45511</v>
      </c>
      <c r="D698" s="3" t="s">
        <v>48</v>
      </c>
      <c r="E698" s="4" t="s">
        <v>6</v>
      </c>
      <c r="F698" s="4" t="s">
        <v>62</v>
      </c>
      <c r="G698" s="4">
        <v>12</v>
      </c>
      <c r="H698" s="4">
        <v>287</v>
      </c>
      <c r="I698" s="4">
        <v>3444</v>
      </c>
      <c r="J698" s="4">
        <f>Table1[[#This Row],[Total Sale]]*0.2</f>
        <v>688.80000000000007</v>
      </c>
      <c r="K698" s="4" t="s">
        <v>7</v>
      </c>
    </row>
    <row r="699" spans="3:11" x14ac:dyDescent="0.3">
      <c r="C699" s="3">
        <v>45510</v>
      </c>
      <c r="D699" s="3" t="s">
        <v>37</v>
      </c>
      <c r="E699" s="4" t="s">
        <v>27</v>
      </c>
      <c r="F699" s="4" t="s">
        <v>56</v>
      </c>
      <c r="G699" s="4">
        <v>23</v>
      </c>
      <c r="H699" s="4">
        <v>323</v>
      </c>
      <c r="I699" s="4">
        <v>7429</v>
      </c>
      <c r="J699" s="4">
        <f>Table1[[#This Row],[Total Sale]]*0.2</f>
        <v>1485.8000000000002</v>
      </c>
      <c r="K699" s="4" t="s">
        <v>22</v>
      </c>
    </row>
    <row r="700" spans="3:11" x14ac:dyDescent="0.3">
      <c r="C700" s="3">
        <v>45509</v>
      </c>
      <c r="D700" s="3" t="s">
        <v>36</v>
      </c>
      <c r="E700" s="4" t="s">
        <v>16</v>
      </c>
      <c r="F700" s="4" t="s">
        <v>70</v>
      </c>
      <c r="G700" s="4">
        <v>43</v>
      </c>
      <c r="H700" s="4">
        <v>496</v>
      </c>
      <c r="I700" s="4">
        <v>21328</v>
      </c>
      <c r="J700" s="4">
        <f>Table1[[#This Row],[Total Sale]]*0.2</f>
        <v>4265.6000000000004</v>
      </c>
      <c r="K700" s="4" t="s">
        <v>24</v>
      </c>
    </row>
    <row r="701" spans="3:11" x14ac:dyDescent="0.3">
      <c r="C701" s="3">
        <v>45508</v>
      </c>
      <c r="D701" s="3" t="s">
        <v>31</v>
      </c>
      <c r="E701" s="4" t="s">
        <v>27</v>
      </c>
      <c r="F701" s="4" t="s">
        <v>51</v>
      </c>
      <c r="G701" s="4">
        <v>27</v>
      </c>
      <c r="H701" s="4">
        <v>335</v>
      </c>
      <c r="I701" s="4">
        <v>9045</v>
      </c>
      <c r="J701" s="4">
        <f>Table1[[#This Row],[Total Sale]]*0.2</f>
        <v>1809</v>
      </c>
      <c r="K701" s="4" t="s">
        <v>28</v>
      </c>
    </row>
    <row r="702" spans="3:11" x14ac:dyDescent="0.3">
      <c r="C702" s="3">
        <v>45508</v>
      </c>
      <c r="D702" s="3" t="s">
        <v>42</v>
      </c>
      <c r="E702" s="4" t="s">
        <v>18</v>
      </c>
      <c r="F702" s="4" t="s">
        <v>70</v>
      </c>
      <c r="G702" s="4">
        <v>28</v>
      </c>
      <c r="H702" s="4">
        <v>293</v>
      </c>
      <c r="I702" s="4">
        <v>8204</v>
      </c>
      <c r="J702" s="4">
        <f>Table1[[#This Row],[Total Sale]]*0.2</f>
        <v>1640.8000000000002</v>
      </c>
      <c r="K702" s="4" t="s">
        <v>20</v>
      </c>
    </row>
    <row r="703" spans="3:11" x14ac:dyDescent="0.3">
      <c r="C703" s="3">
        <v>45507</v>
      </c>
      <c r="D703" s="3" t="s">
        <v>49</v>
      </c>
      <c r="E703" s="4" t="s">
        <v>27</v>
      </c>
      <c r="F703" s="4" t="s">
        <v>51</v>
      </c>
      <c r="G703" s="4">
        <v>37</v>
      </c>
      <c r="H703" s="4">
        <v>392</v>
      </c>
      <c r="I703" s="4">
        <v>14504</v>
      </c>
      <c r="J703" s="4">
        <f>Table1[[#This Row],[Total Sale]]*0.2</f>
        <v>2900.8</v>
      </c>
      <c r="K703" s="4" t="s">
        <v>9</v>
      </c>
    </row>
    <row r="704" spans="3:11" x14ac:dyDescent="0.3">
      <c r="C704" s="3">
        <v>45507</v>
      </c>
      <c r="D704" s="3" t="s">
        <v>42</v>
      </c>
      <c r="E704" s="4" t="s">
        <v>11</v>
      </c>
      <c r="F704" s="4" t="s">
        <v>64</v>
      </c>
      <c r="G704" s="4">
        <v>29</v>
      </c>
      <c r="H704" s="4">
        <v>296</v>
      </c>
      <c r="I704" s="4">
        <v>8584</v>
      </c>
      <c r="J704" s="4">
        <f>Table1[[#This Row],[Total Sale]]*0.2</f>
        <v>1716.8000000000002</v>
      </c>
      <c r="K704" s="4" t="s">
        <v>23</v>
      </c>
    </row>
    <row r="705" spans="3:11" x14ac:dyDescent="0.3">
      <c r="C705" s="3">
        <v>45506</v>
      </c>
      <c r="D705" s="3" t="s">
        <v>37</v>
      </c>
      <c r="E705" s="4" t="s">
        <v>16</v>
      </c>
      <c r="F705" s="4" t="s">
        <v>64</v>
      </c>
      <c r="G705" s="4">
        <v>18</v>
      </c>
      <c r="H705" s="4">
        <v>266</v>
      </c>
      <c r="I705" s="4">
        <v>4788</v>
      </c>
      <c r="J705" s="4">
        <f>Table1[[#This Row],[Total Sale]]*0.2</f>
        <v>957.6</v>
      </c>
      <c r="K705" s="4" t="s">
        <v>24</v>
      </c>
    </row>
    <row r="706" spans="3:11" x14ac:dyDescent="0.3">
      <c r="C706" s="3">
        <v>45505</v>
      </c>
      <c r="D706" s="3" t="s">
        <v>33</v>
      </c>
      <c r="E706" s="4" t="s">
        <v>29</v>
      </c>
      <c r="F706" s="4" t="s">
        <v>57</v>
      </c>
      <c r="G706" s="4">
        <v>43</v>
      </c>
      <c r="H706" s="4">
        <v>207</v>
      </c>
      <c r="I706" s="4">
        <v>8901</v>
      </c>
      <c r="J706" s="4">
        <f>Table1[[#This Row],[Total Sale]]*0.2</f>
        <v>1780.2</v>
      </c>
      <c r="K706" s="4" t="s">
        <v>28</v>
      </c>
    </row>
    <row r="707" spans="3:11" x14ac:dyDescent="0.3">
      <c r="C707" s="3">
        <v>45504</v>
      </c>
      <c r="D707" s="3" t="s">
        <v>39</v>
      </c>
      <c r="E707" s="4" t="s">
        <v>27</v>
      </c>
      <c r="F707" s="4" t="s">
        <v>69</v>
      </c>
      <c r="G707" s="4">
        <v>36</v>
      </c>
      <c r="H707" s="4">
        <v>422</v>
      </c>
      <c r="I707" s="4">
        <v>15192</v>
      </c>
      <c r="J707" s="4">
        <f>Table1[[#This Row],[Total Sale]]*0.2</f>
        <v>3038.4</v>
      </c>
      <c r="K707" s="4" t="s">
        <v>19</v>
      </c>
    </row>
    <row r="708" spans="3:11" x14ac:dyDescent="0.3">
      <c r="C708" s="3">
        <v>45504</v>
      </c>
      <c r="D708" s="3" t="s">
        <v>33</v>
      </c>
      <c r="E708" s="4" t="s">
        <v>29</v>
      </c>
      <c r="F708" s="4" t="s">
        <v>66</v>
      </c>
      <c r="G708" s="4">
        <v>20</v>
      </c>
      <c r="H708" s="4">
        <v>346</v>
      </c>
      <c r="I708" s="4">
        <v>6920</v>
      </c>
      <c r="J708" s="4">
        <f>Table1[[#This Row],[Total Sale]]*0.2</f>
        <v>1384</v>
      </c>
      <c r="K708" s="4" t="s">
        <v>15</v>
      </c>
    </row>
    <row r="709" spans="3:11" x14ac:dyDescent="0.3">
      <c r="C709" s="3">
        <v>45502</v>
      </c>
      <c r="D709" s="3" t="s">
        <v>34</v>
      </c>
      <c r="E709" s="4" t="s">
        <v>18</v>
      </c>
      <c r="F709" s="4" t="s">
        <v>66</v>
      </c>
      <c r="G709" s="4">
        <v>33</v>
      </c>
      <c r="H709" s="4">
        <v>446</v>
      </c>
      <c r="I709" s="4">
        <v>14718</v>
      </c>
      <c r="J709" s="4">
        <f>Table1[[#This Row],[Total Sale]]*0.2</f>
        <v>2943.6000000000004</v>
      </c>
      <c r="K709" s="4" t="s">
        <v>24</v>
      </c>
    </row>
    <row r="710" spans="3:11" x14ac:dyDescent="0.3">
      <c r="C710" s="3">
        <v>45501</v>
      </c>
      <c r="D710" s="3" t="s">
        <v>40</v>
      </c>
      <c r="E710" s="4" t="s">
        <v>25</v>
      </c>
      <c r="F710" s="4" t="s">
        <v>62</v>
      </c>
      <c r="G710" s="4">
        <v>15</v>
      </c>
      <c r="H710" s="4">
        <v>392</v>
      </c>
      <c r="I710" s="4">
        <v>5880</v>
      </c>
      <c r="J710" s="4">
        <f>Table1[[#This Row],[Total Sale]]*0.2</f>
        <v>1176</v>
      </c>
      <c r="K710" s="4" t="s">
        <v>22</v>
      </c>
    </row>
    <row r="711" spans="3:11" x14ac:dyDescent="0.3">
      <c r="C711" s="3">
        <v>45500</v>
      </c>
      <c r="D711" s="3" t="s">
        <v>50</v>
      </c>
      <c r="E711" s="4" t="s">
        <v>25</v>
      </c>
      <c r="F711" s="4" t="s">
        <v>70</v>
      </c>
      <c r="G711" s="4">
        <v>44</v>
      </c>
      <c r="H711" s="4">
        <v>338</v>
      </c>
      <c r="I711" s="4">
        <v>14872</v>
      </c>
      <c r="J711" s="4">
        <f>Table1[[#This Row],[Total Sale]]*0.2</f>
        <v>2974.4</v>
      </c>
      <c r="K711" s="4" t="s">
        <v>28</v>
      </c>
    </row>
    <row r="712" spans="3:11" x14ac:dyDescent="0.3">
      <c r="C712" s="3">
        <v>45500</v>
      </c>
      <c r="D712" s="3" t="s">
        <v>45</v>
      </c>
      <c r="E712" s="4" t="s">
        <v>13</v>
      </c>
      <c r="F712" s="4" t="s">
        <v>65</v>
      </c>
      <c r="G712" s="4">
        <v>48</v>
      </c>
      <c r="H712" s="4">
        <v>346</v>
      </c>
      <c r="I712" s="4">
        <v>16608</v>
      </c>
      <c r="J712" s="4">
        <f>Table1[[#This Row],[Total Sale]]*0.2</f>
        <v>3321.6000000000004</v>
      </c>
      <c r="K712" s="4" t="s">
        <v>23</v>
      </c>
    </row>
    <row r="713" spans="3:11" x14ac:dyDescent="0.3">
      <c r="C713" s="3">
        <v>45499</v>
      </c>
      <c r="D713" s="3" t="s">
        <v>44</v>
      </c>
      <c r="E713" s="4" t="s">
        <v>16</v>
      </c>
      <c r="F713" s="4" t="s">
        <v>56</v>
      </c>
      <c r="G713" s="4">
        <v>30</v>
      </c>
      <c r="H713" s="4">
        <v>233</v>
      </c>
      <c r="I713" s="4">
        <v>6990</v>
      </c>
      <c r="J713" s="4">
        <f>Table1[[#This Row],[Total Sale]]*0.2</f>
        <v>1398</v>
      </c>
      <c r="K713" s="4" t="s">
        <v>19</v>
      </c>
    </row>
    <row r="714" spans="3:11" x14ac:dyDescent="0.3">
      <c r="C714" s="3">
        <v>45498</v>
      </c>
      <c r="D714" s="3" t="s">
        <v>46</v>
      </c>
      <c r="E714" s="4" t="s">
        <v>6</v>
      </c>
      <c r="F714" s="4" t="s">
        <v>64</v>
      </c>
      <c r="G714" s="4">
        <v>37</v>
      </c>
      <c r="H714" s="4">
        <v>462</v>
      </c>
      <c r="I714" s="4">
        <v>17094</v>
      </c>
      <c r="J714" s="4">
        <f>Table1[[#This Row],[Total Sale]]*0.2</f>
        <v>3418.8</v>
      </c>
      <c r="K714" s="4" t="s">
        <v>28</v>
      </c>
    </row>
    <row r="715" spans="3:11" x14ac:dyDescent="0.3">
      <c r="C715" s="3">
        <v>45498</v>
      </c>
      <c r="D715" s="3" t="s">
        <v>47</v>
      </c>
      <c r="E715" s="4" t="s">
        <v>18</v>
      </c>
      <c r="F715" s="4" t="s">
        <v>63</v>
      </c>
      <c r="G715" s="4">
        <v>30</v>
      </c>
      <c r="H715" s="4">
        <v>223</v>
      </c>
      <c r="I715" s="4">
        <v>6690</v>
      </c>
      <c r="J715" s="4">
        <f>Table1[[#This Row],[Total Sale]]*0.2</f>
        <v>1338</v>
      </c>
      <c r="K715" s="4" t="s">
        <v>23</v>
      </c>
    </row>
    <row r="716" spans="3:11" x14ac:dyDescent="0.3">
      <c r="C716" s="3">
        <v>45497</v>
      </c>
      <c r="D716" s="3" t="s">
        <v>44</v>
      </c>
      <c r="E716" s="4" t="s">
        <v>29</v>
      </c>
      <c r="F716" s="4" t="s">
        <v>51</v>
      </c>
      <c r="G716" s="4">
        <v>14</v>
      </c>
      <c r="H716" s="4">
        <v>485</v>
      </c>
      <c r="I716" s="4">
        <v>6790</v>
      </c>
      <c r="J716" s="4">
        <f>Table1[[#This Row],[Total Sale]]*0.2</f>
        <v>1358</v>
      </c>
      <c r="K716" s="4" t="s">
        <v>28</v>
      </c>
    </row>
    <row r="717" spans="3:11" x14ac:dyDescent="0.3">
      <c r="C717" s="3">
        <v>45496</v>
      </c>
      <c r="D717" s="3" t="s">
        <v>40</v>
      </c>
      <c r="E717" s="4" t="s">
        <v>27</v>
      </c>
      <c r="F717" s="4" t="s">
        <v>53</v>
      </c>
      <c r="G717" s="4">
        <v>39</v>
      </c>
      <c r="H717" s="4">
        <v>393</v>
      </c>
      <c r="I717" s="4">
        <v>15327</v>
      </c>
      <c r="J717" s="4">
        <f>Table1[[#This Row],[Total Sale]]*0.2</f>
        <v>3065.4</v>
      </c>
      <c r="K717" s="4" t="s">
        <v>22</v>
      </c>
    </row>
    <row r="718" spans="3:11" x14ac:dyDescent="0.3">
      <c r="C718" s="3">
        <v>45496</v>
      </c>
      <c r="D718" s="3" t="s">
        <v>34</v>
      </c>
      <c r="E718" s="4" t="s">
        <v>11</v>
      </c>
      <c r="F718" s="4" t="s">
        <v>65</v>
      </c>
      <c r="G718" s="4">
        <v>23</v>
      </c>
      <c r="H718" s="4">
        <v>363</v>
      </c>
      <c r="I718" s="4">
        <v>8349</v>
      </c>
      <c r="J718" s="4">
        <f>Table1[[#This Row],[Total Sale]]*0.2</f>
        <v>1669.8000000000002</v>
      </c>
      <c r="K718" s="4" t="s">
        <v>23</v>
      </c>
    </row>
    <row r="719" spans="3:11" x14ac:dyDescent="0.3">
      <c r="C719" s="3">
        <v>45494</v>
      </c>
      <c r="D719" s="3" t="s">
        <v>43</v>
      </c>
      <c r="E719" s="4" t="s">
        <v>18</v>
      </c>
      <c r="F719" s="4" t="s">
        <v>60</v>
      </c>
      <c r="G719" s="4">
        <v>42</v>
      </c>
      <c r="H719" s="4">
        <v>447</v>
      </c>
      <c r="I719" s="4">
        <v>18774</v>
      </c>
      <c r="J719" s="4">
        <f>Table1[[#This Row],[Total Sale]]*0.2</f>
        <v>3754.8</v>
      </c>
      <c r="K719" s="4" t="s">
        <v>20</v>
      </c>
    </row>
    <row r="720" spans="3:11" x14ac:dyDescent="0.3">
      <c r="C720" s="3">
        <v>45494</v>
      </c>
      <c r="D720" s="3" t="s">
        <v>38</v>
      </c>
      <c r="E720" s="4" t="s">
        <v>29</v>
      </c>
      <c r="F720" s="4" t="s">
        <v>54</v>
      </c>
      <c r="G720" s="4">
        <v>17</v>
      </c>
      <c r="H720" s="4">
        <v>416</v>
      </c>
      <c r="I720" s="4">
        <v>7072</v>
      </c>
      <c r="J720" s="4">
        <f>Table1[[#This Row],[Total Sale]]*0.2</f>
        <v>1414.4</v>
      </c>
      <c r="K720" s="4" t="s">
        <v>12</v>
      </c>
    </row>
    <row r="721" spans="3:11" x14ac:dyDescent="0.3">
      <c r="C721" s="3">
        <v>45492</v>
      </c>
      <c r="D721" s="3" t="s">
        <v>32</v>
      </c>
      <c r="E721" s="4" t="s">
        <v>16</v>
      </c>
      <c r="F721" s="4" t="s">
        <v>62</v>
      </c>
      <c r="G721" s="4">
        <v>48</v>
      </c>
      <c r="H721" s="4">
        <v>336</v>
      </c>
      <c r="I721" s="4">
        <v>16128</v>
      </c>
      <c r="J721" s="4">
        <f>Table1[[#This Row],[Total Sale]]*0.2</f>
        <v>3225.6000000000004</v>
      </c>
      <c r="K721" s="4" t="s">
        <v>22</v>
      </c>
    </row>
    <row r="722" spans="3:11" x14ac:dyDescent="0.3">
      <c r="C722" s="3">
        <v>45491</v>
      </c>
      <c r="D722" s="3" t="s">
        <v>44</v>
      </c>
      <c r="E722" s="4" t="s">
        <v>16</v>
      </c>
      <c r="F722" s="4" t="s">
        <v>62</v>
      </c>
      <c r="G722" s="4">
        <v>31</v>
      </c>
      <c r="H722" s="4">
        <v>428</v>
      </c>
      <c r="I722" s="4">
        <v>13268</v>
      </c>
      <c r="J722" s="4">
        <f>Table1[[#This Row],[Total Sale]]*0.2</f>
        <v>2653.6000000000004</v>
      </c>
      <c r="K722" s="4" t="s">
        <v>23</v>
      </c>
    </row>
    <row r="723" spans="3:11" x14ac:dyDescent="0.3">
      <c r="C723" s="3">
        <v>45490</v>
      </c>
      <c r="D723" s="3" t="s">
        <v>38</v>
      </c>
      <c r="E723" s="4" t="s">
        <v>6</v>
      </c>
      <c r="F723" s="4" t="s">
        <v>70</v>
      </c>
      <c r="G723" s="4">
        <v>34</v>
      </c>
      <c r="H723" s="4">
        <v>302</v>
      </c>
      <c r="I723" s="4">
        <v>10268</v>
      </c>
      <c r="J723" s="4">
        <f>Table1[[#This Row],[Total Sale]]*0.2</f>
        <v>2053.6</v>
      </c>
      <c r="K723" s="4" t="s">
        <v>9</v>
      </c>
    </row>
    <row r="724" spans="3:11" x14ac:dyDescent="0.3">
      <c r="C724" s="3">
        <v>45490</v>
      </c>
      <c r="D724" s="3" t="s">
        <v>45</v>
      </c>
      <c r="E724" s="4" t="s">
        <v>6</v>
      </c>
      <c r="F724" s="4" t="s">
        <v>56</v>
      </c>
      <c r="G724" s="4">
        <v>14</v>
      </c>
      <c r="H724" s="4">
        <v>243</v>
      </c>
      <c r="I724" s="4">
        <v>3402</v>
      </c>
      <c r="J724" s="4">
        <f>Table1[[#This Row],[Total Sale]]*0.2</f>
        <v>680.40000000000009</v>
      </c>
      <c r="K724" s="4" t="s">
        <v>28</v>
      </c>
    </row>
    <row r="725" spans="3:11" x14ac:dyDescent="0.3">
      <c r="C725" s="3">
        <v>45490</v>
      </c>
      <c r="D725" s="3" t="s">
        <v>31</v>
      </c>
      <c r="E725" s="4" t="s">
        <v>18</v>
      </c>
      <c r="F725" s="4" t="s">
        <v>61</v>
      </c>
      <c r="G725" s="4">
        <v>44</v>
      </c>
      <c r="H725" s="4">
        <v>457</v>
      </c>
      <c r="I725" s="4">
        <v>20108</v>
      </c>
      <c r="J725" s="4">
        <f>Table1[[#This Row],[Total Sale]]*0.2</f>
        <v>4021.6000000000004</v>
      </c>
      <c r="K725" s="4" t="s">
        <v>19</v>
      </c>
    </row>
    <row r="726" spans="3:11" x14ac:dyDescent="0.3">
      <c r="C726" s="3">
        <v>45489</v>
      </c>
      <c r="D726" s="3" t="s">
        <v>37</v>
      </c>
      <c r="E726" s="4" t="s">
        <v>11</v>
      </c>
      <c r="F726" s="4" t="s">
        <v>51</v>
      </c>
      <c r="G726" s="4">
        <v>17</v>
      </c>
      <c r="H726" s="4">
        <v>385</v>
      </c>
      <c r="I726" s="4">
        <v>6545</v>
      </c>
      <c r="J726" s="4">
        <f>Table1[[#This Row],[Total Sale]]*0.2</f>
        <v>1309</v>
      </c>
      <c r="K726" s="4" t="s">
        <v>17</v>
      </c>
    </row>
    <row r="727" spans="3:11" x14ac:dyDescent="0.3">
      <c r="C727" s="3">
        <v>45488</v>
      </c>
      <c r="D727" s="3" t="s">
        <v>42</v>
      </c>
      <c r="E727" s="4" t="s">
        <v>26</v>
      </c>
      <c r="F727" s="4" t="s">
        <v>70</v>
      </c>
      <c r="G727" s="4">
        <v>24</v>
      </c>
      <c r="H727" s="4">
        <v>497</v>
      </c>
      <c r="I727" s="4">
        <v>11928</v>
      </c>
      <c r="J727" s="4">
        <f>Table1[[#This Row],[Total Sale]]*0.2</f>
        <v>2385.6</v>
      </c>
      <c r="K727" s="4" t="s">
        <v>7</v>
      </c>
    </row>
    <row r="728" spans="3:11" x14ac:dyDescent="0.3">
      <c r="C728" s="3">
        <v>45487</v>
      </c>
      <c r="D728" s="3" t="s">
        <v>32</v>
      </c>
      <c r="E728" s="4" t="s">
        <v>13</v>
      </c>
      <c r="F728" s="4" t="s">
        <v>58</v>
      </c>
      <c r="G728" s="4">
        <v>23</v>
      </c>
      <c r="H728" s="4">
        <v>431</v>
      </c>
      <c r="I728" s="4">
        <v>9913</v>
      </c>
      <c r="J728" s="4">
        <f>Table1[[#This Row],[Total Sale]]*0.2</f>
        <v>1982.6000000000001</v>
      </c>
      <c r="K728" s="4" t="s">
        <v>21</v>
      </c>
    </row>
    <row r="729" spans="3:11" x14ac:dyDescent="0.3">
      <c r="C729" s="3">
        <v>45487</v>
      </c>
      <c r="D729" s="3" t="s">
        <v>47</v>
      </c>
      <c r="E729" s="4" t="s">
        <v>6</v>
      </c>
      <c r="F729" s="4" t="s">
        <v>54</v>
      </c>
      <c r="G729" s="4">
        <v>21</v>
      </c>
      <c r="H729" s="4">
        <v>243</v>
      </c>
      <c r="I729" s="4">
        <v>5103</v>
      </c>
      <c r="J729" s="4">
        <f>Table1[[#This Row],[Total Sale]]*0.2</f>
        <v>1020.6</v>
      </c>
      <c r="K729" s="4" t="s">
        <v>17</v>
      </c>
    </row>
    <row r="730" spans="3:11" x14ac:dyDescent="0.3">
      <c r="C730" s="3">
        <v>45486</v>
      </c>
      <c r="D730" s="3" t="s">
        <v>46</v>
      </c>
      <c r="E730" s="4" t="s">
        <v>6</v>
      </c>
      <c r="F730" s="4" t="s">
        <v>61</v>
      </c>
      <c r="G730" s="4">
        <v>31</v>
      </c>
      <c r="H730" s="4">
        <v>366</v>
      </c>
      <c r="I730" s="4">
        <v>11346</v>
      </c>
      <c r="J730" s="4">
        <f>Table1[[#This Row],[Total Sale]]*0.2</f>
        <v>2269.2000000000003</v>
      </c>
      <c r="K730" s="4" t="s">
        <v>12</v>
      </c>
    </row>
    <row r="731" spans="3:11" x14ac:dyDescent="0.3">
      <c r="C731" s="3">
        <v>45485</v>
      </c>
      <c r="D731" s="3" t="s">
        <v>46</v>
      </c>
      <c r="E731" s="4" t="s">
        <v>25</v>
      </c>
      <c r="F731" s="4" t="s">
        <v>55</v>
      </c>
      <c r="G731" s="4">
        <v>26</v>
      </c>
      <c r="H731" s="4">
        <v>250</v>
      </c>
      <c r="I731" s="4">
        <v>6500</v>
      </c>
      <c r="J731" s="4">
        <f>Table1[[#This Row],[Total Sale]]*0.2</f>
        <v>1300</v>
      </c>
      <c r="K731" s="4" t="s">
        <v>9</v>
      </c>
    </row>
    <row r="732" spans="3:11" x14ac:dyDescent="0.3">
      <c r="C732" s="3">
        <v>45485</v>
      </c>
      <c r="D732" s="3" t="s">
        <v>31</v>
      </c>
      <c r="E732" s="4" t="s">
        <v>25</v>
      </c>
      <c r="F732" s="4" t="s">
        <v>62</v>
      </c>
      <c r="G732" s="4">
        <v>42</v>
      </c>
      <c r="H732" s="4">
        <v>211</v>
      </c>
      <c r="I732" s="4">
        <v>8862</v>
      </c>
      <c r="J732" s="4">
        <f>Table1[[#This Row],[Total Sale]]*0.2</f>
        <v>1772.4</v>
      </c>
      <c r="K732" s="4" t="s">
        <v>12</v>
      </c>
    </row>
    <row r="733" spans="3:11" x14ac:dyDescent="0.3">
      <c r="C733" s="3">
        <v>45481</v>
      </c>
      <c r="D733" s="3" t="s">
        <v>37</v>
      </c>
      <c r="E733" s="4" t="s">
        <v>26</v>
      </c>
      <c r="F733" s="4" t="s">
        <v>60</v>
      </c>
      <c r="G733" s="4">
        <v>30</v>
      </c>
      <c r="H733" s="4">
        <v>377</v>
      </c>
      <c r="I733" s="4">
        <v>11310</v>
      </c>
      <c r="J733" s="4">
        <f>Table1[[#This Row],[Total Sale]]*0.2</f>
        <v>2262</v>
      </c>
      <c r="K733" s="4" t="s">
        <v>8</v>
      </c>
    </row>
    <row r="734" spans="3:11" x14ac:dyDescent="0.3">
      <c r="C734" s="3">
        <v>45480</v>
      </c>
      <c r="D734" s="3" t="s">
        <v>36</v>
      </c>
      <c r="E734" s="4" t="s">
        <v>25</v>
      </c>
      <c r="F734" s="4" t="s">
        <v>65</v>
      </c>
      <c r="G734" s="4">
        <v>28</v>
      </c>
      <c r="H734" s="4">
        <v>250</v>
      </c>
      <c r="I734" s="4">
        <v>7000</v>
      </c>
      <c r="J734" s="4">
        <f>Table1[[#This Row],[Total Sale]]*0.2</f>
        <v>1400</v>
      </c>
      <c r="K734" s="4" t="s">
        <v>15</v>
      </c>
    </row>
    <row r="735" spans="3:11" x14ac:dyDescent="0.3">
      <c r="C735" s="3">
        <v>45479</v>
      </c>
      <c r="D735" s="3" t="s">
        <v>43</v>
      </c>
      <c r="E735" s="4" t="s">
        <v>27</v>
      </c>
      <c r="F735" s="4" t="s">
        <v>64</v>
      </c>
      <c r="G735" s="4">
        <v>36</v>
      </c>
      <c r="H735" s="4">
        <v>288</v>
      </c>
      <c r="I735" s="4">
        <v>10368</v>
      </c>
      <c r="J735" s="4">
        <f>Table1[[#This Row],[Total Sale]]*0.2</f>
        <v>2073.6</v>
      </c>
      <c r="K735" s="4" t="s">
        <v>24</v>
      </c>
    </row>
    <row r="736" spans="3:11" x14ac:dyDescent="0.3">
      <c r="C736" s="3">
        <v>45478</v>
      </c>
      <c r="D736" s="3" t="s">
        <v>37</v>
      </c>
      <c r="E736" s="4" t="s">
        <v>11</v>
      </c>
      <c r="F736" s="4" t="s">
        <v>66</v>
      </c>
      <c r="G736" s="4">
        <v>20</v>
      </c>
      <c r="H736" s="4">
        <v>257</v>
      </c>
      <c r="I736" s="4">
        <v>5140</v>
      </c>
      <c r="J736" s="4">
        <f>Table1[[#This Row],[Total Sale]]*0.2</f>
        <v>1028</v>
      </c>
      <c r="K736" s="4" t="s">
        <v>15</v>
      </c>
    </row>
    <row r="737" spans="3:11" x14ac:dyDescent="0.3">
      <c r="C737" s="3">
        <v>45477</v>
      </c>
      <c r="D737" s="3" t="s">
        <v>33</v>
      </c>
      <c r="E737" s="4" t="s">
        <v>10</v>
      </c>
      <c r="F737" s="4" t="s">
        <v>52</v>
      </c>
      <c r="G737" s="4">
        <v>13</v>
      </c>
      <c r="H737" s="4">
        <v>497</v>
      </c>
      <c r="I737" s="4">
        <v>6461</v>
      </c>
      <c r="J737" s="4">
        <f>Table1[[#This Row],[Total Sale]]*0.2</f>
        <v>1292.2</v>
      </c>
      <c r="K737" s="4" t="s">
        <v>28</v>
      </c>
    </row>
    <row r="738" spans="3:11" x14ac:dyDescent="0.3">
      <c r="C738" s="3">
        <v>45477</v>
      </c>
      <c r="D738" s="3" t="s">
        <v>33</v>
      </c>
      <c r="E738" s="4" t="s">
        <v>10</v>
      </c>
      <c r="F738" s="4" t="s">
        <v>54</v>
      </c>
      <c r="G738" s="4">
        <v>47</v>
      </c>
      <c r="H738" s="4">
        <v>245</v>
      </c>
      <c r="I738" s="4">
        <v>11515</v>
      </c>
      <c r="J738" s="4">
        <f>Table1[[#This Row],[Total Sale]]*0.2</f>
        <v>2303</v>
      </c>
      <c r="K738" s="4" t="s">
        <v>22</v>
      </c>
    </row>
    <row r="739" spans="3:11" x14ac:dyDescent="0.3">
      <c r="C739" s="3">
        <v>45476</v>
      </c>
      <c r="D739" s="3" t="s">
        <v>49</v>
      </c>
      <c r="E739" s="4" t="s">
        <v>10</v>
      </c>
      <c r="F739" s="4" t="s">
        <v>52</v>
      </c>
      <c r="G739" s="4">
        <v>29</v>
      </c>
      <c r="H739" s="4">
        <v>351</v>
      </c>
      <c r="I739" s="4">
        <v>10179</v>
      </c>
      <c r="J739" s="4">
        <f>Table1[[#This Row],[Total Sale]]*0.2</f>
        <v>2035.8000000000002</v>
      </c>
      <c r="K739" s="4" t="s">
        <v>28</v>
      </c>
    </row>
    <row r="740" spans="3:11" x14ac:dyDescent="0.3">
      <c r="C740" s="3">
        <v>45476</v>
      </c>
      <c r="D740" s="3" t="s">
        <v>38</v>
      </c>
      <c r="E740" s="4" t="s">
        <v>13</v>
      </c>
      <c r="F740" s="4" t="s">
        <v>57</v>
      </c>
      <c r="G740" s="4">
        <v>11</v>
      </c>
      <c r="H740" s="4">
        <v>473</v>
      </c>
      <c r="I740" s="4">
        <v>5203</v>
      </c>
      <c r="J740" s="4">
        <f>Table1[[#This Row],[Total Sale]]*0.2</f>
        <v>1040.6000000000001</v>
      </c>
      <c r="K740" s="4" t="s">
        <v>9</v>
      </c>
    </row>
    <row r="741" spans="3:11" x14ac:dyDescent="0.3">
      <c r="C741" s="3">
        <v>45475</v>
      </c>
      <c r="D741" s="3" t="s">
        <v>37</v>
      </c>
      <c r="E741" s="4" t="s">
        <v>27</v>
      </c>
      <c r="F741" s="4" t="s">
        <v>59</v>
      </c>
      <c r="G741" s="4">
        <v>15</v>
      </c>
      <c r="H741" s="4">
        <v>337</v>
      </c>
      <c r="I741" s="4">
        <v>5055</v>
      </c>
      <c r="J741" s="4">
        <f>Table1[[#This Row],[Total Sale]]*0.2</f>
        <v>1011</v>
      </c>
      <c r="K741" s="4" t="s">
        <v>23</v>
      </c>
    </row>
    <row r="742" spans="3:11" x14ac:dyDescent="0.3">
      <c r="C742" s="3">
        <v>45475</v>
      </c>
      <c r="D742" s="3" t="s">
        <v>36</v>
      </c>
      <c r="E742" s="4" t="s">
        <v>13</v>
      </c>
      <c r="F742" s="4" t="s">
        <v>64</v>
      </c>
      <c r="G742" s="4">
        <v>29</v>
      </c>
      <c r="H742" s="4">
        <v>253</v>
      </c>
      <c r="I742" s="4">
        <v>7337</v>
      </c>
      <c r="J742" s="4">
        <f>Table1[[#This Row],[Total Sale]]*0.2</f>
        <v>1467.4</v>
      </c>
      <c r="K742" s="4" t="s">
        <v>7</v>
      </c>
    </row>
    <row r="743" spans="3:11" x14ac:dyDescent="0.3">
      <c r="C743" s="3">
        <v>45475</v>
      </c>
      <c r="D743" s="3" t="s">
        <v>38</v>
      </c>
      <c r="E743" s="4" t="s">
        <v>16</v>
      </c>
      <c r="F743" s="4" t="s">
        <v>53</v>
      </c>
      <c r="G743" s="4">
        <v>30</v>
      </c>
      <c r="H743" s="4">
        <v>304</v>
      </c>
      <c r="I743" s="4">
        <v>9120</v>
      </c>
      <c r="J743" s="4">
        <f>Table1[[#This Row],[Total Sale]]*0.2</f>
        <v>1824</v>
      </c>
      <c r="K743" s="4" t="s">
        <v>14</v>
      </c>
    </row>
    <row r="744" spans="3:11" x14ac:dyDescent="0.3">
      <c r="C744" s="3">
        <v>45474</v>
      </c>
      <c r="D744" s="3" t="s">
        <v>31</v>
      </c>
      <c r="E744" s="4" t="s">
        <v>25</v>
      </c>
      <c r="F744" s="4" t="s">
        <v>61</v>
      </c>
      <c r="G744" s="4">
        <v>47</v>
      </c>
      <c r="H744" s="4">
        <v>327</v>
      </c>
      <c r="I744" s="4">
        <v>15369</v>
      </c>
      <c r="J744" s="4">
        <f>Table1[[#This Row],[Total Sale]]*0.2</f>
        <v>3073.8</v>
      </c>
      <c r="K744" s="4" t="s">
        <v>19</v>
      </c>
    </row>
    <row r="745" spans="3:11" x14ac:dyDescent="0.3">
      <c r="C745" s="3">
        <v>45474</v>
      </c>
      <c r="D745" s="3" t="s">
        <v>35</v>
      </c>
      <c r="E745" s="4" t="s">
        <v>18</v>
      </c>
      <c r="F745" s="4" t="s">
        <v>67</v>
      </c>
      <c r="G745" s="4">
        <v>25</v>
      </c>
      <c r="H745" s="4">
        <v>452</v>
      </c>
      <c r="I745" s="4">
        <v>11300</v>
      </c>
      <c r="J745" s="4">
        <f>Table1[[#This Row],[Total Sale]]*0.2</f>
        <v>2260</v>
      </c>
      <c r="K745" s="4" t="s">
        <v>7</v>
      </c>
    </row>
    <row r="746" spans="3:11" x14ac:dyDescent="0.3">
      <c r="C746" s="3">
        <v>45474</v>
      </c>
      <c r="D746" s="3" t="s">
        <v>44</v>
      </c>
      <c r="E746" s="4" t="s">
        <v>16</v>
      </c>
      <c r="F746" s="4" t="s">
        <v>60</v>
      </c>
      <c r="G746" s="4">
        <v>44</v>
      </c>
      <c r="H746" s="4">
        <v>338</v>
      </c>
      <c r="I746" s="4">
        <v>14872</v>
      </c>
      <c r="J746" s="4">
        <f>Table1[[#This Row],[Total Sale]]*0.2</f>
        <v>2974.4</v>
      </c>
      <c r="K746" s="4" t="s">
        <v>22</v>
      </c>
    </row>
    <row r="747" spans="3:11" x14ac:dyDescent="0.3">
      <c r="C747" s="3">
        <v>45473</v>
      </c>
      <c r="D747" s="3" t="s">
        <v>36</v>
      </c>
      <c r="E747" s="4" t="s">
        <v>6</v>
      </c>
      <c r="F747" s="4" t="s">
        <v>62</v>
      </c>
      <c r="G747" s="4">
        <v>25</v>
      </c>
      <c r="H747" s="4">
        <v>319</v>
      </c>
      <c r="I747" s="4">
        <v>7975</v>
      </c>
      <c r="J747" s="4">
        <f>Table1[[#This Row],[Total Sale]]*0.2</f>
        <v>1595</v>
      </c>
      <c r="K747" s="4" t="s">
        <v>15</v>
      </c>
    </row>
    <row r="748" spans="3:11" x14ac:dyDescent="0.3">
      <c r="C748" s="3">
        <v>45473</v>
      </c>
      <c r="D748" s="3" t="s">
        <v>44</v>
      </c>
      <c r="E748" s="4" t="s">
        <v>16</v>
      </c>
      <c r="F748" s="4" t="s">
        <v>55</v>
      </c>
      <c r="G748" s="4">
        <v>40</v>
      </c>
      <c r="H748" s="4">
        <v>452</v>
      </c>
      <c r="I748" s="4">
        <v>18080</v>
      </c>
      <c r="J748" s="4">
        <f>Table1[[#This Row],[Total Sale]]*0.2</f>
        <v>3616</v>
      </c>
      <c r="K748" s="4" t="s">
        <v>21</v>
      </c>
    </row>
    <row r="749" spans="3:11" x14ac:dyDescent="0.3">
      <c r="C749" s="3">
        <v>45472</v>
      </c>
      <c r="D749" s="3" t="s">
        <v>36</v>
      </c>
      <c r="E749" s="4" t="s">
        <v>13</v>
      </c>
      <c r="F749" s="4" t="s">
        <v>61</v>
      </c>
      <c r="G749" s="4">
        <v>15</v>
      </c>
      <c r="H749" s="4">
        <v>435</v>
      </c>
      <c r="I749" s="4">
        <v>6525</v>
      </c>
      <c r="J749" s="4">
        <f>Table1[[#This Row],[Total Sale]]*0.2</f>
        <v>1305</v>
      </c>
      <c r="K749" s="4" t="s">
        <v>8</v>
      </c>
    </row>
    <row r="750" spans="3:11" x14ac:dyDescent="0.3">
      <c r="C750" s="3">
        <v>45472</v>
      </c>
      <c r="D750" s="3" t="s">
        <v>49</v>
      </c>
      <c r="E750" s="4" t="s">
        <v>18</v>
      </c>
      <c r="F750" s="4" t="s">
        <v>62</v>
      </c>
      <c r="G750" s="4">
        <v>40</v>
      </c>
      <c r="H750" s="4">
        <v>434</v>
      </c>
      <c r="I750" s="4">
        <v>17360</v>
      </c>
      <c r="J750" s="4">
        <f>Table1[[#This Row],[Total Sale]]*0.2</f>
        <v>3472</v>
      </c>
      <c r="K750" s="4" t="s">
        <v>8</v>
      </c>
    </row>
    <row r="751" spans="3:11" x14ac:dyDescent="0.3">
      <c r="C751" s="3">
        <v>45471</v>
      </c>
      <c r="D751" s="3" t="s">
        <v>38</v>
      </c>
      <c r="E751" s="4" t="s">
        <v>29</v>
      </c>
      <c r="F751" s="4" t="s">
        <v>64</v>
      </c>
      <c r="G751" s="4">
        <v>26</v>
      </c>
      <c r="H751" s="4">
        <v>282</v>
      </c>
      <c r="I751" s="4">
        <v>7332</v>
      </c>
      <c r="J751" s="4">
        <f>Table1[[#This Row],[Total Sale]]*0.2</f>
        <v>1466.4</v>
      </c>
      <c r="K751" s="4" t="s">
        <v>20</v>
      </c>
    </row>
    <row r="752" spans="3:11" x14ac:dyDescent="0.3">
      <c r="C752" s="3">
        <v>45470</v>
      </c>
      <c r="D752" s="3" t="s">
        <v>35</v>
      </c>
      <c r="E752" s="4" t="s">
        <v>11</v>
      </c>
      <c r="F752" s="4" t="s">
        <v>52</v>
      </c>
      <c r="G752" s="4">
        <v>29</v>
      </c>
      <c r="H752" s="4">
        <v>314</v>
      </c>
      <c r="I752" s="4">
        <v>9106</v>
      </c>
      <c r="J752" s="4">
        <f>Table1[[#This Row],[Total Sale]]*0.2</f>
        <v>1821.2</v>
      </c>
      <c r="K752" s="4" t="s">
        <v>20</v>
      </c>
    </row>
    <row r="753" spans="3:11" x14ac:dyDescent="0.3">
      <c r="C753" s="3">
        <v>45470</v>
      </c>
      <c r="D753" s="3" t="s">
        <v>40</v>
      </c>
      <c r="E753" s="4" t="s">
        <v>18</v>
      </c>
      <c r="F753" s="4" t="s">
        <v>68</v>
      </c>
      <c r="G753" s="4">
        <v>37</v>
      </c>
      <c r="H753" s="4">
        <v>339</v>
      </c>
      <c r="I753" s="4">
        <v>12543</v>
      </c>
      <c r="J753" s="4">
        <f>Table1[[#This Row],[Total Sale]]*0.2</f>
        <v>2508.6000000000004</v>
      </c>
      <c r="K753" s="4" t="s">
        <v>21</v>
      </c>
    </row>
    <row r="754" spans="3:11" x14ac:dyDescent="0.3">
      <c r="C754" s="3">
        <v>45470</v>
      </c>
      <c r="D754" s="3" t="s">
        <v>43</v>
      </c>
      <c r="E754" s="4" t="s">
        <v>29</v>
      </c>
      <c r="F754" s="4" t="s">
        <v>51</v>
      </c>
      <c r="G754" s="4">
        <v>47</v>
      </c>
      <c r="H754" s="4">
        <v>294</v>
      </c>
      <c r="I754" s="4">
        <v>13818</v>
      </c>
      <c r="J754" s="4">
        <f>Table1[[#This Row],[Total Sale]]*0.2</f>
        <v>2763.6000000000004</v>
      </c>
      <c r="K754" s="4" t="s">
        <v>22</v>
      </c>
    </row>
    <row r="755" spans="3:11" x14ac:dyDescent="0.3">
      <c r="C755" s="3">
        <v>45470</v>
      </c>
      <c r="D755" s="3" t="s">
        <v>41</v>
      </c>
      <c r="E755" s="4" t="s">
        <v>29</v>
      </c>
      <c r="F755" s="4" t="s">
        <v>62</v>
      </c>
      <c r="G755" s="4">
        <v>37</v>
      </c>
      <c r="H755" s="4">
        <v>278</v>
      </c>
      <c r="I755" s="4">
        <v>10286</v>
      </c>
      <c r="J755" s="4">
        <f>Table1[[#This Row],[Total Sale]]*0.2</f>
        <v>2057.2000000000003</v>
      </c>
      <c r="K755" s="4" t="s">
        <v>23</v>
      </c>
    </row>
    <row r="756" spans="3:11" x14ac:dyDescent="0.3">
      <c r="C756" s="3">
        <v>45468</v>
      </c>
      <c r="D756" s="3" t="s">
        <v>39</v>
      </c>
      <c r="E756" s="4" t="s">
        <v>13</v>
      </c>
      <c r="F756" s="4" t="s">
        <v>62</v>
      </c>
      <c r="G756" s="4">
        <v>27</v>
      </c>
      <c r="H756" s="4">
        <v>463</v>
      </c>
      <c r="I756" s="4">
        <v>12501</v>
      </c>
      <c r="J756" s="4">
        <f>Table1[[#This Row],[Total Sale]]*0.2</f>
        <v>2500.2000000000003</v>
      </c>
      <c r="K756" s="4" t="s">
        <v>22</v>
      </c>
    </row>
    <row r="757" spans="3:11" x14ac:dyDescent="0.3">
      <c r="C757" s="3">
        <v>45468</v>
      </c>
      <c r="D757" s="3" t="s">
        <v>50</v>
      </c>
      <c r="E757" s="4" t="s">
        <v>18</v>
      </c>
      <c r="F757" s="4" t="s">
        <v>66</v>
      </c>
      <c r="G757" s="4">
        <v>35</v>
      </c>
      <c r="H757" s="4">
        <v>348</v>
      </c>
      <c r="I757" s="4">
        <v>12180</v>
      </c>
      <c r="J757" s="4">
        <f>Table1[[#This Row],[Total Sale]]*0.2</f>
        <v>2436</v>
      </c>
      <c r="K757" s="4" t="s">
        <v>7</v>
      </c>
    </row>
    <row r="758" spans="3:11" x14ac:dyDescent="0.3">
      <c r="C758" s="3">
        <v>45467</v>
      </c>
      <c r="D758" s="3" t="s">
        <v>33</v>
      </c>
      <c r="E758" s="4" t="s">
        <v>10</v>
      </c>
      <c r="F758" s="4" t="s">
        <v>58</v>
      </c>
      <c r="G758" s="4">
        <v>49</v>
      </c>
      <c r="H758" s="4">
        <v>315</v>
      </c>
      <c r="I758" s="4">
        <v>15435</v>
      </c>
      <c r="J758" s="4">
        <f>Table1[[#This Row],[Total Sale]]*0.2</f>
        <v>3087</v>
      </c>
      <c r="K758" s="4" t="s">
        <v>17</v>
      </c>
    </row>
    <row r="759" spans="3:11" x14ac:dyDescent="0.3">
      <c r="C759" s="3">
        <v>45466</v>
      </c>
      <c r="D759" s="3" t="s">
        <v>45</v>
      </c>
      <c r="E759" s="4" t="s">
        <v>16</v>
      </c>
      <c r="F759" s="4" t="s">
        <v>54</v>
      </c>
      <c r="G759" s="4">
        <v>16</v>
      </c>
      <c r="H759" s="4">
        <v>256</v>
      </c>
      <c r="I759" s="4">
        <v>4096</v>
      </c>
      <c r="J759" s="4">
        <f>Table1[[#This Row],[Total Sale]]*0.2</f>
        <v>819.2</v>
      </c>
      <c r="K759" s="4" t="s">
        <v>21</v>
      </c>
    </row>
    <row r="760" spans="3:11" x14ac:dyDescent="0.3">
      <c r="C760" s="3">
        <v>45465</v>
      </c>
      <c r="D760" s="3" t="s">
        <v>33</v>
      </c>
      <c r="E760" s="4" t="s">
        <v>11</v>
      </c>
      <c r="F760" s="4" t="s">
        <v>57</v>
      </c>
      <c r="G760" s="4">
        <v>17</v>
      </c>
      <c r="H760" s="4">
        <v>243</v>
      </c>
      <c r="I760" s="4">
        <v>4131</v>
      </c>
      <c r="J760" s="4">
        <f>Table1[[#This Row],[Total Sale]]*0.2</f>
        <v>826.2</v>
      </c>
      <c r="K760" s="4" t="s">
        <v>7</v>
      </c>
    </row>
    <row r="761" spans="3:11" x14ac:dyDescent="0.3">
      <c r="C761" s="3">
        <v>45464</v>
      </c>
      <c r="D761" s="3" t="s">
        <v>33</v>
      </c>
      <c r="E761" s="4" t="s">
        <v>29</v>
      </c>
      <c r="F761" s="4" t="s">
        <v>68</v>
      </c>
      <c r="G761" s="4">
        <v>42</v>
      </c>
      <c r="H761" s="4">
        <v>404</v>
      </c>
      <c r="I761" s="4">
        <v>16968</v>
      </c>
      <c r="J761" s="4">
        <f>Table1[[#This Row],[Total Sale]]*0.2</f>
        <v>3393.6000000000004</v>
      </c>
      <c r="K761" s="4" t="s">
        <v>21</v>
      </c>
    </row>
    <row r="762" spans="3:11" x14ac:dyDescent="0.3">
      <c r="C762" s="3">
        <v>45463</v>
      </c>
      <c r="D762" s="3" t="s">
        <v>32</v>
      </c>
      <c r="E762" s="4" t="s">
        <v>10</v>
      </c>
      <c r="F762" s="4" t="s">
        <v>61</v>
      </c>
      <c r="G762" s="4">
        <v>49</v>
      </c>
      <c r="H762" s="4">
        <v>210</v>
      </c>
      <c r="I762" s="4">
        <v>10290</v>
      </c>
      <c r="J762" s="4">
        <f>Table1[[#This Row],[Total Sale]]*0.2</f>
        <v>2058</v>
      </c>
      <c r="K762" s="4" t="s">
        <v>22</v>
      </c>
    </row>
    <row r="763" spans="3:11" x14ac:dyDescent="0.3">
      <c r="C763" s="3">
        <v>45462</v>
      </c>
      <c r="D763" s="3" t="s">
        <v>50</v>
      </c>
      <c r="E763" s="4" t="s">
        <v>26</v>
      </c>
      <c r="F763" s="4" t="s">
        <v>60</v>
      </c>
      <c r="G763" s="4">
        <v>21</v>
      </c>
      <c r="H763" s="4">
        <v>393</v>
      </c>
      <c r="I763" s="4">
        <v>8253</v>
      </c>
      <c r="J763" s="4">
        <f>Table1[[#This Row],[Total Sale]]*0.2</f>
        <v>1650.6000000000001</v>
      </c>
      <c r="K763" s="4" t="s">
        <v>22</v>
      </c>
    </row>
    <row r="764" spans="3:11" x14ac:dyDescent="0.3">
      <c r="C764" s="3">
        <v>45462</v>
      </c>
      <c r="D764" s="3" t="s">
        <v>41</v>
      </c>
      <c r="E764" s="4" t="s">
        <v>26</v>
      </c>
      <c r="F764" s="4" t="s">
        <v>52</v>
      </c>
      <c r="G764" s="4">
        <v>24</v>
      </c>
      <c r="H764" s="4">
        <v>285</v>
      </c>
      <c r="I764" s="4">
        <v>6840</v>
      </c>
      <c r="J764" s="4">
        <f>Table1[[#This Row],[Total Sale]]*0.2</f>
        <v>1368</v>
      </c>
      <c r="K764" s="4" t="s">
        <v>8</v>
      </c>
    </row>
    <row r="765" spans="3:11" x14ac:dyDescent="0.3">
      <c r="C765" s="3">
        <v>45460</v>
      </c>
      <c r="D765" s="3" t="s">
        <v>35</v>
      </c>
      <c r="E765" s="4" t="s">
        <v>26</v>
      </c>
      <c r="F765" s="4" t="s">
        <v>51</v>
      </c>
      <c r="G765" s="4">
        <v>16</v>
      </c>
      <c r="H765" s="4">
        <v>428</v>
      </c>
      <c r="I765" s="4">
        <v>6848</v>
      </c>
      <c r="J765" s="4">
        <f>Table1[[#This Row],[Total Sale]]*0.2</f>
        <v>1369.6000000000001</v>
      </c>
      <c r="K765" s="4" t="s">
        <v>20</v>
      </c>
    </row>
    <row r="766" spans="3:11" x14ac:dyDescent="0.3">
      <c r="C766" s="3">
        <v>45460</v>
      </c>
      <c r="D766" s="3" t="s">
        <v>38</v>
      </c>
      <c r="E766" s="4" t="s">
        <v>11</v>
      </c>
      <c r="F766" s="4" t="s">
        <v>53</v>
      </c>
      <c r="G766" s="4">
        <v>26</v>
      </c>
      <c r="H766" s="4">
        <v>479</v>
      </c>
      <c r="I766" s="4">
        <v>12454</v>
      </c>
      <c r="J766" s="4">
        <f>Table1[[#This Row],[Total Sale]]*0.2</f>
        <v>2490.8000000000002</v>
      </c>
      <c r="K766" s="4" t="s">
        <v>7</v>
      </c>
    </row>
    <row r="767" spans="3:11" x14ac:dyDescent="0.3">
      <c r="C767" s="3">
        <v>45456</v>
      </c>
      <c r="D767" s="3" t="s">
        <v>48</v>
      </c>
      <c r="E767" s="4" t="s">
        <v>10</v>
      </c>
      <c r="F767" s="4" t="s">
        <v>55</v>
      </c>
      <c r="G767" s="4">
        <v>12</v>
      </c>
      <c r="H767" s="4">
        <v>342</v>
      </c>
      <c r="I767" s="4">
        <v>4104</v>
      </c>
      <c r="J767" s="4">
        <f>Table1[[#This Row],[Total Sale]]*0.2</f>
        <v>820.80000000000007</v>
      </c>
      <c r="K767" s="4" t="s">
        <v>24</v>
      </c>
    </row>
    <row r="768" spans="3:11" x14ac:dyDescent="0.3">
      <c r="C768" s="3">
        <v>45454</v>
      </c>
      <c r="D768" s="3" t="s">
        <v>38</v>
      </c>
      <c r="E768" s="4" t="s">
        <v>11</v>
      </c>
      <c r="F768" s="4" t="s">
        <v>54</v>
      </c>
      <c r="G768" s="4">
        <v>17</v>
      </c>
      <c r="H768" s="4">
        <v>327</v>
      </c>
      <c r="I768" s="4">
        <v>5559</v>
      </c>
      <c r="J768" s="4">
        <f>Table1[[#This Row],[Total Sale]]*0.2</f>
        <v>1111.8</v>
      </c>
      <c r="K768" s="4" t="s">
        <v>7</v>
      </c>
    </row>
    <row r="769" spans="3:11" x14ac:dyDescent="0.3">
      <c r="C769" s="3">
        <v>45454</v>
      </c>
      <c r="D769" s="3" t="s">
        <v>35</v>
      </c>
      <c r="E769" s="4" t="s">
        <v>29</v>
      </c>
      <c r="F769" s="4" t="s">
        <v>60</v>
      </c>
      <c r="G769" s="4">
        <v>30</v>
      </c>
      <c r="H769" s="4">
        <v>455</v>
      </c>
      <c r="I769" s="4">
        <v>13650</v>
      </c>
      <c r="J769" s="4">
        <f>Table1[[#This Row],[Total Sale]]*0.2</f>
        <v>2730</v>
      </c>
      <c r="K769" s="4" t="s">
        <v>21</v>
      </c>
    </row>
    <row r="770" spans="3:11" x14ac:dyDescent="0.3">
      <c r="C770" s="3">
        <v>45452</v>
      </c>
      <c r="D770" s="3" t="s">
        <v>49</v>
      </c>
      <c r="E770" s="4" t="s">
        <v>25</v>
      </c>
      <c r="F770" s="4" t="s">
        <v>57</v>
      </c>
      <c r="G770" s="4">
        <v>25</v>
      </c>
      <c r="H770" s="4">
        <v>302</v>
      </c>
      <c r="I770" s="4">
        <v>7550</v>
      </c>
      <c r="J770" s="4">
        <f>Table1[[#This Row],[Total Sale]]*0.2</f>
        <v>1510</v>
      </c>
      <c r="K770" s="4" t="s">
        <v>20</v>
      </c>
    </row>
    <row r="771" spans="3:11" x14ac:dyDescent="0.3">
      <c r="C771" s="3">
        <v>45452</v>
      </c>
      <c r="D771" s="3" t="s">
        <v>40</v>
      </c>
      <c r="E771" s="4" t="s">
        <v>16</v>
      </c>
      <c r="F771" s="4" t="s">
        <v>57</v>
      </c>
      <c r="G771" s="4">
        <v>31</v>
      </c>
      <c r="H771" s="4">
        <v>454</v>
      </c>
      <c r="I771" s="4">
        <v>14074</v>
      </c>
      <c r="J771" s="4">
        <f>Table1[[#This Row],[Total Sale]]*0.2</f>
        <v>2814.8</v>
      </c>
      <c r="K771" s="4" t="s">
        <v>15</v>
      </c>
    </row>
    <row r="772" spans="3:11" x14ac:dyDescent="0.3">
      <c r="C772" s="3">
        <v>45449</v>
      </c>
      <c r="D772" s="3" t="s">
        <v>44</v>
      </c>
      <c r="E772" s="4" t="s">
        <v>25</v>
      </c>
      <c r="F772" s="4" t="s">
        <v>61</v>
      </c>
      <c r="G772" s="4">
        <v>25</v>
      </c>
      <c r="H772" s="4">
        <v>430</v>
      </c>
      <c r="I772" s="4">
        <v>10750</v>
      </c>
      <c r="J772" s="4">
        <f>Table1[[#This Row],[Total Sale]]*0.2</f>
        <v>2150</v>
      </c>
      <c r="K772" s="4" t="s">
        <v>14</v>
      </c>
    </row>
    <row r="773" spans="3:11" x14ac:dyDescent="0.3">
      <c r="C773" s="3">
        <v>45449</v>
      </c>
      <c r="D773" s="3" t="s">
        <v>45</v>
      </c>
      <c r="E773" s="4" t="s">
        <v>25</v>
      </c>
      <c r="F773" s="4" t="s">
        <v>57</v>
      </c>
      <c r="G773" s="4">
        <v>24</v>
      </c>
      <c r="H773" s="4">
        <v>297</v>
      </c>
      <c r="I773" s="4">
        <v>7128</v>
      </c>
      <c r="J773" s="4">
        <f>Table1[[#This Row],[Total Sale]]*0.2</f>
        <v>1425.6000000000001</v>
      </c>
      <c r="K773" s="4" t="s">
        <v>12</v>
      </c>
    </row>
    <row r="774" spans="3:11" x14ac:dyDescent="0.3">
      <c r="C774" s="3">
        <v>45449</v>
      </c>
      <c r="D774" s="3" t="s">
        <v>34</v>
      </c>
      <c r="E774" s="4" t="s">
        <v>6</v>
      </c>
      <c r="F774" s="4" t="s">
        <v>59</v>
      </c>
      <c r="G774" s="4">
        <v>35</v>
      </c>
      <c r="H774" s="4">
        <v>379</v>
      </c>
      <c r="I774" s="4">
        <v>13265</v>
      </c>
      <c r="J774" s="4">
        <f>Table1[[#This Row],[Total Sale]]*0.2</f>
        <v>2653</v>
      </c>
      <c r="K774" s="4" t="s">
        <v>14</v>
      </c>
    </row>
    <row r="775" spans="3:11" x14ac:dyDescent="0.3">
      <c r="C775" s="3">
        <v>45449</v>
      </c>
      <c r="D775" s="3" t="s">
        <v>37</v>
      </c>
      <c r="E775" s="4" t="s">
        <v>29</v>
      </c>
      <c r="F775" s="4" t="s">
        <v>59</v>
      </c>
      <c r="G775" s="4">
        <v>26</v>
      </c>
      <c r="H775" s="4">
        <v>473</v>
      </c>
      <c r="I775" s="4">
        <v>12298</v>
      </c>
      <c r="J775" s="4">
        <f>Table1[[#This Row],[Total Sale]]*0.2</f>
        <v>2459.6000000000004</v>
      </c>
      <c r="K775" s="4" t="s">
        <v>9</v>
      </c>
    </row>
    <row r="776" spans="3:11" x14ac:dyDescent="0.3">
      <c r="C776" s="3">
        <v>45448</v>
      </c>
      <c r="D776" s="3" t="s">
        <v>35</v>
      </c>
      <c r="E776" s="4" t="s">
        <v>25</v>
      </c>
      <c r="F776" s="4" t="s">
        <v>66</v>
      </c>
      <c r="G776" s="4">
        <v>27</v>
      </c>
      <c r="H776" s="4">
        <v>291</v>
      </c>
      <c r="I776" s="4">
        <v>7857</v>
      </c>
      <c r="J776" s="4">
        <f>Table1[[#This Row],[Total Sale]]*0.2</f>
        <v>1571.4</v>
      </c>
      <c r="K776" s="4" t="s">
        <v>8</v>
      </c>
    </row>
    <row r="777" spans="3:11" x14ac:dyDescent="0.3">
      <c r="C777" s="3">
        <v>45448</v>
      </c>
      <c r="D777" s="3" t="s">
        <v>44</v>
      </c>
      <c r="E777" s="4" t="s">
        <v>16</v>
      </c>
      <c r="F777" s="4" t="s">
        <v>63</v>
      </c>
      <c r="G777" s="4">
        <v>36</v>
      </c>
      <c r="H777" s="4">
        <v>283</v>
      </c>
      <c r="I777" s="4">
        <v>10188</v>
      </c>
      <c r="J777" s="4">
        <f>Table1[[#This Row],[Total Sale]]*0.2</f>
        <v>2037.6000000000001</v>
      </c>
      <c r="K777" s="4" t="s">
        <v>24</v>
      </c>
    </row>
    <row r="778" spans="3:11" x14ac:dyDescent="0.3">
      <c r="C778" s="3">
        <v>45446</v>
      </c>
      <c r="D778" s="3" t="s">
        <v>44</v>
      </c>
      <c r="E778" s="4" t="s">
        <v>13</v>
      </c>
      <c r="F778" s="4" t="s">
        <v>55</v>
      </c>
      <c r="G778" s="4">
        <v>41</v>
      </c>
      <c r="H778" s="4">
        <v>292</v>
      </c>
      <c r="I778" s="4">
        <v>11972</v>
      </c>
      <c r="J778" s="4">
        <f>Table1[[#This Row],[Total Sale]]*0.2</f>
        <v>2394.4</v>
      </c>
      <c r="K778" s="4" t="s">
        <v>28</v>
      </c>
    </row>
    <row r="779" spans="3:11" x14ac:dyDescent="0.3">
      <c r="C779" s="3">
        <v>45445</v>
      </c>
      <c r="D779" s="3" t="s">
        <v>35</v>
      </c>
      <c r="E779" s="4" t="s">
        <v>11</v>
      </c>
      <c r="F779" s="4" t="s">
        <v>70</v>
      </c>
      <c r="G779" s="4">
        <v>44</v>
      </c>
      <c r="H779" s="4">
        <v>312</v>
      </c>
      <c r="I779" s="4">
        <v>13728</v>
      </c>
      <c r="J779" s="4">
        <f>Table1[[#This Row],[Total Sale]]*0.2</f>
        <v>2745.6000000000004</v>
      </c>
      <c r="K779" s="4" t="s">
        <v>14</v>
      </c>
    </row>
    <row r="780" spans="3:11" x14ac:dyDescent="0.3">
      <c r="C780" s="3">
        <v>45445</v>
      </c>
      <c r="D780" s="3" t="s">
        <v>49</v>
      </c>
      <c r="E780" s="4" t="s">
        <v>10</v>
      </c>
      <c r="F780" s="4" t="s">
        <v>63</v>
      </c>
      <c r="G780" s="4">
        <v>33</v>
      </c>
      <c r="H780" s="4">
        <v>497</v>
      </c>
      <c r="I780" s="4">
        <v>16401</v>
      </c>
      <c r="J780" s="4">
        <f>Table1[[#This Row],[Total Sale]]*0.2</f>
        <v>3280.2000000000003</v>
      </c>
      <c r="K780" s="4" t="s">
        <v>24</v>
      </c>
    </row>
    <row r="781" spans="3:11" x14ac:dyDescent="0.3">
      <c r="C781" s="3">
        <v>45444</v>
      </c>
      <c r="D781" s="3" t="s">
        <v>39</v>
      </c>
      <c r="E781" s="4" t="s">
        <v>11</v>
      </c>
      <c r="F781" s="4" t="s">
        <v>67</v>
      </c>
      <c r="G781" s="4">
        <v>40</v>
      </c>
      <c r="H781" s="4">
        <v>311</v>
      </c>
      <c r="I781" s="4">
        <v>12440</v>
      </c>
      <c r="J781" s="4">
        <f>Table1[[#This Row],[Total Sale]]*0.2</f>
        <v>2488</v>
      </c>
      <c r="K781" s="4" t="s">
        <v>20</v>
      </c>
    </row>
    <row r="782" spans="3:11" x14ac:dyDescent="0.3">
      <c r="C782" s="3">
        <v>45444</v>
      </c>
      <c r="D782" s="3" t="s">
        <v>43</v>
      </c>
      <c r="E782" s="4" t="s">
        <v>6</v>
      </c>
      <c r="F782" s="4" t="s">
        <v>52</v>
      </c>
      <c r="G782" s="4">
        <v>32</v>
      </c>
      <c r="H782" s="4">
        <v>464</v>
      </c>
      <c r="I782" s="4">
        <v>14848</v>
      </c>
      <c r="J782" s="4">
        <f>Table1[[#This Row],[Total Sale]]*0.2</f>
        <v>2969.6000000000004</v>
      </c>
      <c r="K782" s="4" t="s">
        <v>8</v>
      </c>
    </row>
    <row r="783" spans="3:11" x14ac:dyDescent="0.3">
      <c r="C783" s="3">
        <v>45444</v>
      </c>
      <c r="D783" s="3" t="s">
        <v>46</v>
      </c>
      <c r="E783" s="4" t="s">
        <v>29</v>
      </c>
      <c r="F783" s="4" t="s">
        <v>52</v>
      </c>
      <c r="G783" s="4">
        <v>22</v>
      </c>
      <c r="H783" s="4">
        <v>207</v>
      </c>
      <c r="I783" s="4">
        <v>4554</v>
      </c>
      <c r="J783" s="4">
        <f>Table1[[#This Row],[Total Sale]]*0.2</f>
        <v>910.80000000000007</v>
      </c>
      <c r="K783" s="4" t="s">
        <v>9</v>
      </c>
    </row>
    <row r="784" spans="3:11" x14ac:dyDescent="0.3">
      <c r="C784" s="3">
        <v>45443</v>
      </c>
      <c r="D784" s="3" t="s">
        <v>38</v>
      </c>
      <c r="E784" s="4" t="s">
        <v>25</v>
      </c>
      <c r="F784" s="4" t="s">
        <v>66</v>
      </c>
      <c r="G784" s="4">
        <v>34</v>
      </c>
      <c r="H784" s="4">
        <v>235</v>
      </c>
      <c r="I784" s="4">
        <v>7990</v>
      </c>
      <c r="J784" s="4">
        <f>Table1[[#This Row],[Total Sale]]*0.2</f>
        <v>1598</v>
      </c>
      <c r="K784" s="4" t="s">
        <v>22</v>
      </c>
    </row>
    <row r="785" spans="3:11" x14ac:dyDescent="0.3">
      <c r="C785" s="3">
        <v>45443</v>
      </c>
      <c r="D785" s="3" t="s">
        <v>40</v>
      </c>
      <c r="E785" s="4" t="s">
        <v>29</v>
      </c>
      <c r="F785" s="4" t="s">
        <v>56</v>
      </c>
      <c r="G785" s="4">
        <v>45</v>
      </c>
      <c r="H785" s="4">
        <v>341</v>
      </c>
      <c r="I785" s="4">
        <v>15345</v>
      </c>
      <c r="J785" s="4">
        <f>Table1[[#This Row],[Total Sale]]*0.2</f>
        <v>3069</v>
      </c>
      <c r="K785" s="4" t="s">
        <v>17</v>
      </c>
    </row>
    <row r="786" spans="3:11" x14ac:dyDescent="0.3">
      <c r="C786" s="3">
        <v>45440</v>
      </c>
      <c r="D786" s="3" t="s">
        <v>41</v>
      </c>
      <c r="E786" s="4" t="s">
        <v>11</v>
      </c>
      <c r="F786" s="4" t="s">
        <v>59</v>
      </c>
      <c r="G786" s="4">
        <v>18</v>
      </c>
      <c r="H786" s="4">
        <v>363</v>
      </c>
      <c r="I786" s="4">
        <v>6534</v>
      </c>
      <c r="J786" s="4">
        <f>Table1[[#This Row],[Total Sale]]*0.2</f>
        <v>1306.8000000000002</v>
      </c>
      <c r="K786" s="4" t="s">
        <v>22</v>
      </c>
    </row>
    <row r="787" spans="3:11" x14ac:dyDescent="0.3">
      <c r="C787" s="3">
        <v>45438</v>
      </c>
      <c r="D787" s="3" t="s">
        <v>38</v>
      </c>
      <c r="E787" s="4" t="s">
        <v>10</v>
      </c>
      <c r="F787" s="4" t="s">
        <v>59</v>
      </c>
      <c r="G787" s="4">
        <v>21</v>
      </c>
      <c r="H787" s="4">
        <v>257</v>
      </c>
      <c r="I787" s="4">
        <v>5397</v>
      </c>
      <c r="J787" s="4">
        <f>Table1[[#This Row],[Total Sale]]*0.2</f>
        <v>1079.4000000000001</v>
      </c>
      <c r="K787" s="4" t="s">
        <v>20</v>
      </c>
    </row>
    <row r="788" spans="3:11" x14ac:dyDescent="0.3">
      <c r="C788" s="3">
        <v>45436</v>
      </c>
      <c r="D788" s="3" t="s">
        <v>31</v>
      </c>
      <c r="E788" s="4" t="s">
        <v>29</v>
      </c>
      <c r="F788" s="4" t="s">
        <v>53</v>
      </c>
      <c r="G788" s="4">
        <v>32</v>
      </c>
      <c r="H788" s="4">
        <v>308</v>
      </c>
      <c r="I788" s="4">
        <v>9856</v>
      </c>
      <c r="J788" s="4">
        <f>Table1[[#This Row],[Total Sale]]*0.2</f>
        <v>1971.2</v>
      </c>
      <c r="K788" s="4" t="s">
        <v>24</v>
      </c>
    </row>
    <row r="789" spans="3:11" x14ac:dyDescent="0.3">
      <c r="C789" s="3">
        <v>45435</v>
      </c>
      <c r="D789" s="3" t="s">
        <v>38</v>
      </c>
      <c r="E789" s="4" t="s">
        <v>29</v>
      </c>
      <c r="F789" s="4" t="s">
        <v>60</v>
      </c>
      <c r="G789" s="4">
        <v>48</v>
      </c>
      <c r="H789" s="4">
        <v>211</v>
      </c>
      <c r="I789" s="4">
        <v>10128</v>
      </c>
      <c r="J789" s="4">
        <f>Table1[[#This Row],[Total Sale]]*0.2</f>
        <v>2025.6000000000001</v>
      </c>
      <c r="K789" s="4" t="s">
        <v>22</v>
      </c>
    </row>
    <row r="790" spans="3:11" x14ac:dyDescent="0.3">
      <c r="C790" s="3">
        <v>45434</v>
      </c>
      <c r="D790" s="3" t="s">
        <v>32</v>
      </c>
      <c r="E790" s="4" t="s">
        <v>18</v>
      </c>
      <c r="F790" s="4" t="s">
        <v>51</v>
      </c>
      <c r="G790" s="4">
        <v>40</v>
      </c>
      <c r="H790" s="4">
        <v>232</v>
      </c>
      <c r="I790" s="4">
        <v>9280</v>
      </c>
      <c r="J790" s="4">
        <f>Table1[[#This Row],[Total Sale]]*0.2</f>
        <v>1856</v>
      </c>
      <c r="K790" s="4" t="s">
        <v>17</v>
      </c>
    </row>
    <row r="791" spans="3:11" x14ac:dyDescent="0.3">
      <c r="C791" s="3">
        <v>45433</v>
      </c>
      <c r="D791" s="3" t="s">
        <v>33</v>
      </c>
      <c r="E791" s="4" t="s">
        <v>27</v>
      </c>
      <c r="F791" s="4" t="s">
        <v>65</v>
      </c>
      <c r="G791" s="4">
        <v>29</v>
      </c>
      <c r="H791" s="4">
        <v>323</v>
      </c>
      <c r="I791" s="4">
        <v>9367</v>
      </c>
      <c r="J791" s="4">
        <f>Table1[[#This Row],[Total Sale]]*0.2</f>
        <v>1873.4</v>
      </c>
      <c r="K791" s="4" t="s">
        <v>20</v>
      </c>
    </row>
    <row r="792" spans="3:11" x14ac:dyDescent="0.3">
      <c r="C792" s="3">
        <v>45433</v>
      </c>
      <c r="D792" s="3" t="s">
        <v>42</v>
      </c>
      <c r="E792" s="4" t="s">
        <v>13</v>
      </c>
      <c r="F792" s="4" t="s">
        <v>68</v>
      </c>
      <c r="G792" s="4">
        <v>35</v>
      </c>
      <c r="H792" s="4">
        <v>361</v>
      </c>
      <c r="I792" s="4">
        <v>12635</v>
      </c>
      <c r="J792" s="4">
        <f>Table1[[#This Row],[Total Sale]]*0.2</f>
        <v>2527</v>
      </c>
      <c r="K792" s="4" t="s">
        <v>21</v>
      </c>
    </row>
    <row r="793" spans="3:11" x14ac:dyDescent="0.3">
      <c r="C793" s="3">
        <v>45430</v>
      </c>
      <c r="D793" s="3" t="s">
        <v>44</v>
      </c>
      <c r="E793" s="4" t="s">
        <v>16</v>
      </c>
      <c r="F793" s="4" t="s">
        <v>65</v>
      </c>
      <c r="G793" s="4">
        <v>44</v>
      </c>
      <c r="H793" s="4">
        <v>246</v>
      </c>
      <c r="I793" s="4">
        <v>10824</v>
      </c>
      <c r="J793" s="4">
        <f>Table1[[#This Row],[Total Sale]]*0.2</f>
        <v>2164.8000000000002</v>
      </c>
      <c r="K793" s="4" t="s">
        <v>8</v>
      </c>
    </row>
    <row r="794" spans="3:11" x14ac:dyDescent="0.3">
      <c r="C794" s="3">
        <v>45429</v>
      </c>
      <c r="D794" s="3" t="s">
        <v>43</v>
      </c>
      <c r="E794" s="4" t="s">
        <v>25</v>
      </c>
      <c r="F794" s="4" t="s">
        <v>64</v>
      </c>
      <c r="G794" s="4">
        <v>19</v>
      </c>
      <c r="H794" s="4">
        <v>424</v>
      </c>
      <c r="I794" s="4">
        <v>8056</v>
      </c>
      <c r="J794" s="4">
        <f>Table1[[#This Row],[Total Sale]]*0.2</f>
        <v>1611.2</v>
      </c>
      <c r="K794" s="4" t="s">
        <v>9</v>
      </c>
    </row>
    <row r="795" spans="3:11" x14ac:dyDescent="0.3">
      <c r="C795" s="3">
        <v>45428</v>
      </c>
      <c r="D795" s="3" t="s">
        <v>39</v>
      </c>
      <c r="E795" s="4" t="s">
        <v>18</v>
      </c>
      <c r="F795" s="4" t="s">
        <v>65</v>
      </c>
      <c r="G795" s="4">
        <v>23</v>
      </c>
      <c r="H795" s="4">
        <v>252</v>
      </c>
      <c r="I795" s="4">
        <v>5796</v>
      </c>
      <c r="J795" s="4">
        <f>Table1[[#This Row],[Total Sale]]*0.2</f>
        <v>1159.2</v>
      </c>
      <c r="K795" s="4" t="s">
        <v>15</v>
      </c>
    </row>
    <row r="796" spans="3:11" x14ac:dyDescent="0.3">
      <c r="C796" s="3">
        <v>45427</v>
      </c>
      <c r="D796" s="3" t="s">
        <v>34</v>
      </c>
      <c r="E796" s="4" t="s">
        <v>13</v>
      </c>
      <c r="F796" s="4" t="s">
        <v>60</v>
      </c>
      <c r="G796" s="4">
        <v>29</v>
      </c>
      <c r="H796" s="4">
        <v>381</v>
      </c>
      <c r="I796" s="4">
        <v>11049</v>
      </c>
      <c r="J796" s="4">
        <f>Table1[[#This Row],[Total Sale]]*0.2</f>
        <v>2209.8000000000002</v>
      </c>
      <c r="K796" s="4" t="s">
        <v>15</v>
      </c>
    </row>
    <row r="797" spans="3:11" x14ac:dyDescent="0.3">
      <c r="C797" s="3">
        <v>45427</v>
      </c>
      <c r="D797" s="3" t="s">
        <v>39</v>
      </c>
      <c r="E797" s="4" t="s">
        <v>18</v>
      </c>
      <c r="F797" s="4" t="s">
        <v>52</v>
      </c>
      <c r="G797" s="4">
        <v>24</v>
      </c>
      <c r="H797" s="4">
        <v>250</v>
      </c>
      <c r="I797" s="4">
        <v>6000</v>
      </c>
      <c r="J797" s="4">
        <f>Table1[[#This Row],[Total Sale]]*0.2</f>
        <v>1200</v>
      </c>
      <c r="K797" s="4" t="s">
        <v>21</v>
      </c>
    </row>
    <row r="798" spans="3:11" x14ac:dyDescent="0.3">
      <c r="C798" s="3">
        <v>45426</v>
      </c>
      <c r="D798" s="3" t="s">
        <v>48</v>
      </c>
      <c r="E798" s="4" t="s">
        <v>16</v>
      </c>
      <c r="F798" s="4" t="s">
        <v>61</v>
      </c>
      <c r="G798" s="4">
        <v>36</v>
      </c>
      <c r="H798" s="4">
        <v>412</v>
      </c>
      <c r="I798" s="4">
        <v>14832</v>
      </c>
      <c r="J798" s="4">
        <f>Table1[[#This Row],[Total Sale]]*0.2</f>
        <v>2966.4</v>
      </c>
      <c r="K798" s="4" t="s">
        <v>12</v>
      </c>
    </row>
    <row r="799" spans="3:11" x14ac:dyDescent="0.3">
      <c r="C799" s="3">
        <v>45425</v>
      </c>
      <c r="D799" s="3" t="s">
        <v>35</v>
      </c>
      <c r="E799" s="4" t="s">
        <v>26</v>
      </c>
      <c r="F799" s="4" t="s">
        <v>58</v>
      </c>
      <c r="G799" s="4">
        <v>37</v>
      </c>
      <c r="H799" s="4">
        <v>377</v>
      </c>
      <c r="I799" s="4">
        <v>13949</v>
      </c>
      <c r="J799" s="4">
        <f>Table1[[#This Row],[Total Sale]]*0.2</f>
        <v>2789.8</v>
      </c>
      <c r="K799" s="4" t="s">
        <v>17</v>
      </c>
    </row>
    <row r="800" spans="3:11" x14ac:dyDescent="0.3">
      <c r="C800" s="3">
        <v>45423</v>
      </c>
      <c r="D800" s="3" t="s">
        <v>50</v>
      </c>
      <c r="E800" s="4" t="s">
        <v>11</v>
      </c>
      <c r="F800" s="4" t="s">
        <v>59</v>
      </c>
      <c r="G800" s="4">
        <v>31</v>
      </c>
      <c r="H800" s="4">
        <v>489</v>
      </c>
      <c r="I800" s="4">
        <v>15159</v>
      </c>
      <c r="J800" s="4">
        <f>Table1[[#This Row],[Total Sale]]*0.2</f>
        <v>3031.8</v>
      </c>
      <c r="K800" s="4" t="s">
        <v>22</v>
      </c>
    </row>
    <row r="801" spans="3:11" x14ac:dyDescent="0.3">
      <c r="C801" s="3">
        <v>45423</v>
      </c>
      <c r="D801" s="3" t="s">
        <v>42</v>
      </c>
      <c r="E801" s="4" t="s">
        <v>18</v>
      </c>
      <c r="F801" s="4" t="s">
        <v>68</v>
      </c>
      <c r="G801" s="4">
        <v>50</v>
      </c>
      <c r="H801" s="4">
        <v>446</v>
      </c>
      <c r="I801" s="4">
        <v>22300</v>
      </c>
      <c r="J801" s="4">
        <f>Table1[[#This Row],[Total Sale]]*0.2</f>
        <v>4460</v>
      </c>
      <c r="K801" s="4" t="s">
        <v>14</v>
      </c>
    </row>
    <row r="802" spans="3:11" x14ac:dyDescent="0.3">
      <c r="C802" s="3">
        <v>45422</v>
      </c>
      <c r="D802" s="3" t="s">
        <v>48</v>
      </c>
      <c r="E802" s="4" t="s">
        <v>27</v>
      </c>
      <c r="F802" s="4" t="s">
        <v>64</v>
      </c>
      <c r="G802" s="4">
        <v>25</v>
      </c>
      <c r="H802" s="4">
        <v>297</v>
      </c>
      <c r="I802" s="4">
        <v>7425</v>
      </c>
      <c r="J802" s="4">
        <f>Table1[[#This Row],[Total Sale]]*0.2</f>
        <v>1485</v>
      </c>
      <c r="K802" s="4" t="s">
        <v>14</v>
      </c>
    </row>
    <row r="803" spans="3:11" x14ac:dyDescent="0.3">
      <c r="C803" s="3">
        <v>45421</v>
      </c>
      <c r="D803" s="3" t="s">
        <v>40</v>
      </c>
      <c r="E803" s="4" t="s">
        <v>29</v>
      </c>
      <c r="F803" s="4" t="s">
        <v>63</v>
      </c>
      <c r="G803" s="4">
        <v>49</v>
      </c>
      <c r="H803" s="4">
        <v>281</v>
      </c>
      <c r="I803" s="4">
        <v>13769</v>
      </c>
      <c r="J803" s="4">
        <f>Table1[[#This Row],[Total Sale]]*0.2</f>
        <v>2753.8</v>
      </c>
      <c r="K803" s="4" t="s">
        <v>24</v>
      </c>
    </row>
    <row r="804" spans="3:11" x14ac:dyDescent="0.3">
      <c r="C804" s="3">
        <v>45419</v>
      </c>
      <c r="D804" s="3" t="s">
        <v>40</v>
      </c>
      <c r="E804" s="4" t="s">
        <v>29</v>
      </c>
      <c r="F804" s="4" t="s">
        <v>70</v>
      </c>
      <c r="G804" s="4">
        <v>27</v>
      </c>
      <c r="H804" s="4">
        <v>331</v>
      </c>
      <c r="I804" s="4">
        <v>8937</v>
      </c>
      <c r="J804" s="4">
        <f>Table1[[#This Row],[Total Sale]]*0.2</f>
        <v>1787.4</v>
      </c>
      <c r="K804" s="4" t="s">
        <v>28</v>
      </c>
    </row>
    <row r="805" spans="3:11" x14ac:dyDescent="0.3">
      <c r="C805" s="3">
        <v>45418</v>
      </c>
      <c r="D805" s="3" t="s">
        <v>43</v>
      </c>
      <c r="E805" s="4" t="s">
        <v>27</v>
      </c>
      <c r="F805" s="4" t="s">
        <v>62</v>
      </c>
      <c r="G805" s="4">
        <v>45</v>
      </c>
      <c r="H805" s="4">
        <v>227</v>
      </c>
      <c r="I805" s="4">
        <v>10215</v>
      </c>
      <c r="J805" s="4">
        <f>Table1[[#This Row],[Total Sale]]*0.2</f>
        <v>2043</v>
      </c>
      <c r="K805" s="4" t="s">
        <v>12</v>
      </c>
    </row>
    <row r="806" spans="3:11" x14ac:dyDescent="0.3">
      <c r="C806" s="3">
        <v>45418</v>
      </c>
      <c r="D806" s="3" t="s">
        <v>32</v>
      </c>
      <c r="E806" s="4" t="s">
        <v>10</v>
      </c>
      <c r="F806" s="4" t="s">
        <v>60</v>
      </c>
      <c r="G806" s="4">
        <v>28</v>
      </c>
      <c r="H806" s="4">
        <v>490</v>
      </c>
      <c r="I806" s="4">
        <v>13720</v>
      </c>
      <c r="J806" s="4">
        <f>Table1[[#This Row],[Total Sale]]*0.2</f>
        <v>2744</v>
      </c>
      <c r="K806" s="4" t="s">
        <v>24</v>
      </c>
    </row>
    <row r="807" spans="3:11" x14ac:dyDescent="0.3">
      <c r="C807" s="3">
        <v>45418</v>
      </c>
      <c r="D807" s="3" t="s">
        <v>32</v>
      </c>
      <c r="E807" s="4" t="s">
        <v>10</v>
      </c>
      <c r="F807" s="4" t="s">
        <v>54</v>
      </c>
      <c r="G807" s="4">
        <v>42</v>
      </c>
      <c r="H807" s="4">
        <v>356</v>
      </c>
      <c r="I807" s="4">
        <v>14952</v>
      </c>
      <c r="J807" s="4">
        <f>Table1[[#This Row],[Total Sale]]*0.2</f>
        <v>2990.4</v>
      </c>
      <c r="K807" s="4" t="s">
        <v>8</v>
      </c>
    </row>
    <row r="808" spans="3:11" x14ac:dyDescent="0.3">
      <c r="C808" s="3">
        <v>45417</v>
      </c>
      <c r="D808" s="3" t="s">
        <v>48</v>
      </c>
      <c r="E808" s="4" t="s">
        <v>6</v>
      </c>
      <c r="F808" s="4" t="s">
        <v>60</v>
      </c>
      <c r="G808" s="4">
        <v>17</v>
      </c>
      <c r="H808" s="4">
        <v>331</v>
      </c>
      <c r="I808" s="4">
        <v>5627</v>
      </c>
      <c r="J808" s="4">
        <f>Table1[[#This Row],[Total Sale]]*0.2</f>
        <v>1125.4000000000001</v>
      </c>
      <c r="K808" s="4" t="s">
        <v>28</v>
      </c>
    </row>
    <row r="809" spans="3:11" x14ac:dyDescent="0.3">
      <c r="C809" s="3">
        <v>45415</v>
      </c>
      <c r="D809" s="3" t="s">
        <v>38</v>
      </c>
      <c r="E809" s="4" t="s">
        <v>27</v>
      </c>
      <c r="F809" s="4" t="s">
        <v>68</v>
      </c>
      <c r="G809" s="4">
        <v>39</v>
      </c>
      <c r="H809" s="4">
        <v>448</v>
      </c>
      <c r="I809" s="4">
        <v>17472</v>
      </c>
      <c r="J809" s="4">
        <f>Table1[[#This Row],[Total Sale]]*0.2</f>
        <v>3494.4</v>
      </c>
      <c r="K809" s="4" t="s">
        <v>24</v>
      </c>
    </row>
    <row r="810" spans="3:11" x14ac:dyDescent="0.3">
      <c r="C810" s="3">
        <v>45415</v>
      </c>
      <c r="D810" s="3" t="s">
        <v>39</v>
      </c>
      <c r="E810" s="4" t="s">
        <v>10</v>
      </c>
      <c r="F810" s="4" t="s">
        <v>59</v>
      </c>
      <c r="G810" s="4">
        <v>18</v>
      </c>
      <c r="H810" s="4">
        <v>467</v>
      </c>
      <c r="I810" s="4">
        <v>8406</v>
      </c>
      <c r="J810" s="4">
        <f>Table1[[#This Row],[Total Sale]]*0.2</f>
        <v>1681.2</v>
      </c>
      <c r="K810" s="4" t="s">
        <v>24</v>
      </c>
    </row>
    <row r="811" spans="3:11" x14ac:dyDescent="0.3">
      <c r="C811" s="3">
        <v>45415</v>
      </c>
      <c r="D811" s="3" t="s">
        <v>42</v>
      </c>
      <c r="E811" s="4" t="s">
        <v>18</v>
      </c>
      <c r="F811" s="4" t="s">
        <v>52</v>
      </c>
      <c r="G811" s="4">
        <v>19</v>
      </c>
      <c r="H811" s="4">
        <v>265</v>
      </c>
      <c r="I811" s="4">
        <v>5035</v>
      </c>
      <c r="J811" s="4">
        <f>Table1[[#This Row],[Total Sale]]*0.2</f>
        <v>1007</v>
      </c>
      <c r="K811" s="4" t="s">
        <v>21</v>
      </c>
    </row>
    <row r="812" spans="3:11" x14ac:dyDescent="0.3">
      <c r="C812" s="3">
        <v>45413</v>
      </c>
      <c r="D812" s="3" t="s">
        <v>33</v>
      </c>
      <c r="E812" s="4" t="s">
        <v>6</v>
      </c>
      <c r="F812" s="4" t="s">
        <v>55</v>
      </c>
      <c r="G812" s="4">
        <v>30</v>
      </c>
      <c r="H812" s="4">
        <v>446</v>
      </c>
      <c r="I812" s="4">
        <v>13380</v>
      </c>
      <c r="J812" s="4">
        <f>Table1[[#This Row],[Total Sale]]*0.2</f>
        <v>2676</v>
      </c>
      <c r="K812" s="4" t="s">
        <v>23</v>
      </c>
    </row>
    <row r="813" spans="3:11" x14ac:dyDescent="0.3">
      <c r="C813" s="3">
        <v>45413</v>
      </c>
      <c r="D813" s="3" t="s">
        <v>34</v>
      </c>
      <c r="E813" s="4" t="s">
        <v>18</v>
      </c>
      <c r="F813" s="4" t="s">
        <v>66</v>
      </c>
      <c r="G813" s="4">
        <v>35</v>
      </c>
      <c r="H813" s="4">
        <v>334</v>
      </c>
      <c r="I813" s="4">
        <v>11690</v>
      </c>
      <c r="J813" s="4">
        <f>Table1[[#This Row],[Total Sale]]*0.2</f>
        <v>2338</v>
      </c>
      <c r="K813" s="4" t="s">
        <v>28</v>
      </c>
    </row>
    <row r="814" spans="3:11" x14ac:dyDescent="0.3">
      <c r="C814" s="3">
        <v>45413</v>
      </c>
      <c r="D814" s="3" t="s">
        <v>49</v>
      </c>
      <c r="E814" s="4" t="s">
        <v>18</v>
      </c>
      <c r="F814" s="4" t="s">
        <v>69</v>
      </c>
      <c r="G814" s="4">
        <v>15</v>
      </c>
      <c r="H814" s="4">
        <v>333</v>
      </c>
      <c r="I814" s="4">
        <v>4995</v>
      </c>
      <c r="J814" s="4">
        <f>Table1[[#This Row],[Total Sale]]*0.2</f>
        <v>999</v>
      </c>
      <c r="K814" s="4" t="s">
        <v>28</v>
      </c>
    </row>
    <row r="815" spans="3:11" x14ac:dyDescent="0.3">
      <c r="C815" s="3">
        <v>45410</v>
      </c>
      <c r="D815" s="3" t="s">
        <v>37</v>
      </c>
      <c r="E815" s="4" t="s">
        <v>27</v>
      </c>
      <c r="F815" s="4" t="s">
        <v>51</v>
      </c>
      <c r="G815" s="4">
        <v>46</v>
      </c>
      <c r="H815" s="4">
        <v>383</v>
      </c>
      <c r="I815" s="4">
        <v>17618</v>
      </c>
      <c r="J815" s="4">
        <f>Table1[[#This Row],[Total Sale]]*0.2</f>
        <v>3523.6000000000004</v>
      </c>
      <c r="K815" s="4" t="s">
        <v>21</v>
      </c>
    </row>
    <row r="816" spans="3:11" x14ac:dyDescent="0.3">
      <c r="C816" s="3">
        <v>45410</v>
      </c>
      <c r="D816" s="3" t="s">
        <v>34</v>
      </c>
      <c r="E816" s="4" t="s">
        <v>25</v>
      </c>
      <c r="F816" s="4" t="s">
        <v>62</v>
      </c>
      <c r="G816" s="4">
        <v>12</v>
      </c>
      <c r="H816" s="4">
        <v>302</v>
      </c>
      <c r="I816" s="4">
        <v>3624</v>
      </c>
      <c r="J816" s="4">
        <f>Table1[[#This Row],[Total Sale]]*0.2</f>
        <v>724.80000000000007</v>
      </c>
      <c r="K816" s="4" t="s">
        <v>7</v>
      </c>
    </row>
    <row r="817" spans="3:11" x14ac:dyDescent="0.3">
      <c r="C817" s="3">
        <v>45409</v>
      </c>
      <c r="D817" s="3" t="s">
        <v>31</v>
      </c>
      <c r="E817" s="4" t="s">
        <v>16</v>
      </c>
      <c r="F817" s="4" t="s">
        <v>67</v>
      </c>
      <c r="G817" s="4">
        <v>36</v>
      </c>
      <c r="H817" s="4">
        <v>285</v>
      </c>
      <c r="I817" s="4">
        <v>10260</v>
      </c>
      <c r="J817" s="4">
        <f>Table1[[#This Row],[Total Sale]]*0.2</f>
        <v>2052</v>
      </c>
      <c r="K817" s="4" t="s">
        <v>22</v>
      </c>
    </row>
    <row r="818" spans="3:11" x14ac:dyDescent="0.3">
      <c r="C818" s="3">
        <v>45408</v>
      </c>
      <c r="D818" s="3" t="s">
        <v>45</v>
      </c>
      <c r="E818" s="4" t="s">
        <v>27</v>
      </c>
      <c r="F818" s="4" t="s">
        <v>62</v>
      </c>
      <c r="G818" s="4">
        <v>44</v>
      </c>
      <c r="H818" s="4">
        <v>413</v>
      </c>
      <c r="I818" s="4">
        <v>18172</v>
      </c>
      <c r="J818" s="4">
        <f>Table1[[#This Row],[Total Sale]]*0.2</f>
        <v>3634.4</v>
      </c>
      <c r="K818" s="4" t="s">
        <v>21</v>
      </c>
    </row>
    <row r="819" spans="3:11" x14ac:dyDescent="0.3">
      <c r="C819" s="3">
        <v>45408</v>
      </c>
      <c r="D819" s="3" t="s">
        <v>45</v>
      </c>
      <c r="E819" s="4" t="s">
        <v>10</v>
      </c>
      <c r="F819" s="4" t="s">
        <v>53</v>
      </c>
      <c r="G819" s="4">
        <v>48</v>
      </c>
      <c r="H819" s="4">
        <v>289</v>
      </c>
      <c r="I819" s="4">
        <v>13872</v>
      </c>
      <c r="J819" s="4">
        <f>Table1[[#This Row],[Total Sale]]*0.2</f>
        <v>2774.4</v>
      </c>
      <c r="K819" s="4" t="s">
        <v>28</v>
      </c>
    </row>
    <row r="820" spans="3:11" x14ac:dyDescent="0.3">
      <c r="C820" s="3">
        <v>45408</v>
      </c>
      <c r="D820" s="3" t="s">
        <v>41</v>
      </c>
      <c r="E820" s="4" t="s">
        <v>10</v>
      </c>
      <c r="F820" s="4" t="s">
        <v>60</v>
      </c>
      <c r="G820" s="4">
        <v>21</v>
      </c>
      <c r="H820" s="4">
        <v>277</v>
      </c>
      <c r="I820" s="4">
        <v>5817</v>
      </c>
      <c r="J820" s="4">
        <f>Table1[[#This Row],[Total Sale]]*0.2</f>
        <v>1163.4000000000001</v>
      </c>
      <c r="K820" s="4" t="s">
        <v>24</v>
      </c>
    </row>
    <row r="821" spans="3:11" x14ac:dyDescent="0.3">
      <c r="C821" s="3">
        <v>45408</v>
      </c>
      <c r="D821" s="3" t="s">
        <v>46</v>
      </c>
      <c r="E821" s="4" t="s">
        <v>18</v>
      </c>
      <c r="F821" s="4" t="s">
        <v>66</v>
      </c>
      <c r="G821" s="4">
        <v>14</v>
      </c>
      <c r="H821" s="4">
        <v>488</v>
      </c>
      <c r="I821" s="4">
        <v>6832</v>
      </c>
      <c r="J821" s="4">
        <f>Table1[[#This Row],[Total Sale]]*0.2</f>
        <v>1366.4</v>
      </c>
      <c r="K821" s="4" t="s">
        <v>17</v>
      </c>
    </row>
    <row r="822" spans="3:11" x14ac:dyDescent="0.3">
      <c r="C822" s="3">
        <v>45407</v>
      </c>
      <c r="D822" s="3" t="s">
        <v>41</v>
      </c>
      <c r="E822" s="4" t="s">
        <v>25</v>
      </c>
      <c r="F822" s="4" t="s">
        <v>51</v>
      </c>
      <c r="G822" s="4">
        <v>35</v>
      </c>
      <c r="H822" s="4">
        <v>482</v>
      </c>
      <c r="I822" s="4">
        <v>16870</v>
      </c>
      <c r="J822" s="4">
        <f>Table1[[#This Row],[Total Sale]]*0.2</f>
        <v>3374</v>
      </c>
      <c r="K822" s="4" t="s">
        <v>24</v>
      </c>
    </row>
    <row r="823" spans="3:11" x14ac:dyDescent="0.3">
      <c r="C823" s="3">
        <v>45407</v>
      </c>
      <c r="D823" s="3" t="s">
        <v>31</v>
      </c>
      <c r="E823" s="4" t="s">
        <v>10</v>
      </c>
      <c r="F823" s="4" t="s">
        <v>51</v>
      </c>
      <c r="G823" s="4">
        <v>25</v>
      </c>
      <c r="H823" s="4">
        <v>216</v>
      </c>
      <c r="I823" s="4">
        <v>5400</v>
      </c>
      <c r="J823" s="4">
        <f>Table1[[#This Row],[Total Sale]]*0.2</f>
        <v>1080</v>
      </c>
      <c r="K823" s="4" t="s">
        <v>19</v>
      </c>
    </row>
    <row r="824" spans="3:11" x14ac:dyDescent="0.3">
      <c r="C824" s="3">
        <v>45406</v>
      </c>
      <c r="D824" s="3" t="s">
        <v>34</v>
      </c>
      <c r="E824" s="4" t="s">
        <v>27</v>
      </c>
      <c r="F824" s="4" t="s">
        <v>62</v>
      </c>
      <c r="G824" s="4">
        <v>29</v>
      </c>
      <c r="H824" s="4">
        <v>347</v>
      </c>
      <c r="I824" s="4">
        <v>10063</v>
      </c>
      <c r="J824" s="4">
        <f>Table1[[#This Row],[Total Sale]]*0.2</f>
        <v>2012.6000000000001</v>
      </c>
      <c r="K824" s="4" t="s">
        <v>14</v>
      </c>
    </row>
    <row r="825" spans="3:11" x14ac:dyDescent="0.3">
      <c r="C825" s="3">
        <v>45406</v>
      </c>
      <c r="D825" s="3" t="s">
        <v>36</v>
      </c>
      <c r="E825" s="4" t="s">
        <v>26</v>
      </c>
      <c r="F825" s="4" t="s">
        <v>60</v>
      </c>
      <c r="G825" s="4">
        <v>37</v>
      </c>
      <c r="H825" s="4">
        <v>314</v>
      </c>
      <c r="I825" s="4">
        <v>11618</v>
      </c>
      <c r="J825" s="4">
        <f>Table1[[#This Row],[Total Sale]]*0.2</f>
        <v>2323.6</v>
      </c>
      <c r="K825" s="4" t="s">
        <v>15</v>
      </c>
    </row>
    <row r="826" spans="3:11" x14ac:dyDescent="0.3">
      <c r="C826" s="3">
        <v>45404</v>
      </c>
      <c r="D826" s="3" t="s">
        <v>46</v>
      </c>
      <c r="E826" s="4" t="s">
        <v>11</v>
      </c>
      <c r="F826" s="4" t="s">
        <v>61</v>
      </c>
      <c r="G826" s="4">
        <v>14</v>
      </c>
      <c r="H826" s="4">
        <v>494</v>
      </c>
      <c r="I826" s="4">
        <v>6916</v>
      </c>
      <c r="J826" s="4">
        <f>Table1[[#This Row],[Total Sale]]*0.2</f>
        <v>1383.2</v>
      </c>
      <c r="K826" s="4" t="s">
        <v>23</v>
      </c>
    </row>
    <row r="827" spans="3:11" x14ac:dyDescent="0.3">
      <c r="C827" s="3">
        <v>45403</v>
      </c>
      <c r="D827" s="3" t="s">
        <v>32</v>
      </c>
      <c r="E827" s="4" t="s">
        <v>11</v>
      </c>
      <c r="F827" s="4" t="s">
        <v>62</v>
      </c>
      <c r="G827" s="4">
        <v>37</v>
      </c>
      <c r="H827" s="4">
        <v>456</v>
      </c>
      <c r="I827" s="4">
        <v>16872</v>
      </c>
      <c r="J827" s="4">
        <f>Table1[[#This Row],[Total Sale]]*0.2</f>
        <v>3374.4</v>
      </c>
      <c r="K827" s="4" t="s">
        <v>21</v>
      </c>
    </row>
    <row r="828" spans="3:11" x14ac:dyDescent="0.3">
      <c r="C828" s="3">
        <v>45403</v>
      </c>
      <c r="D828" s="3" t="s">
        <v>40</v>
      </c>
      <c r="E828" s="4" t="s">
        <v>11</v>
      </c>
      <c r="F828" s="4" t="s">
        <v>54</v>
      </c>
      <c r="G828" s="4">
        <v>40</v>
      </c>
      <c r="H828" s="4">
        <v>439</v>
      </c>
      <c r="I828" s="4">
        <v>17560</v>
      </c>
      <c r="J828" s="4">
        <f>Table1[[#This Row],[Total Sale]]*0.2</f>
        <v>3512</v>
      </c>
      <c r="K828" s="4" t="s">
        <v>8</v>
      </c>
    </row>
    <row r="829" spans="3:11" x14ac:dyDescent="0.3">
      <c r="C829" s="3">
        <v>45403</v>
      </c>
      <c r="D829" s="3" t="s">
        <v>33</v>
      </c>
      <c r="E829" s="4" t="s">
        <v>10</v>
      </c>
      <c r="F829" s="4" t="s">
        <v>52</v>
      </c>
      <c r="G829" s="4">
        <v>45</v>
      </c>
      <c r="H829" s="4">
        <v>283</v>
      </c>
      <c r="I829" s="4">
        <v>12735</v>
      </c>
      <c r="J829" s="4">
        <f>Table1[[#This Row],[Total Sale]]*0.2</f>
        <v>2547</v>
      </c>
      <c r="K829" s="4" t="s">
        <v>19</v>
      </c>
    </row>
    <row r="830" spans="3:11" x14ac:dyDescent="0.3">
      <c r="C830" s="3">
        <v>45402</v>
      </c>
      <c r="D830" s="3" t="s">
        <v>50</v>
      </c>
      <c r="E830" s="4" t="s">
        <v>6</v>
      </c>
      <c r="F830" s="4" t="s">
        <v>69</v>
      </c>
      <c r="G830" s="4">
        <v>46</v>
      </c>
      <c r="H830" s="4">
        <v>406</v>
      </c>
      <c r="I830" s="4">
        <v>18676</v>
      </c>
      <c r="J830" s="4">
        <f>Table1[[#This Row],[Total Sale]]*0.2</f>
        <v>3735.2000000000003</v>
      </c>
      <c r="K830" s="4" t="s">
        <v>12</v>
      </c>
    </row>
    <row r="831" spans="3:11" x14ac:dyDescent="0.3">
      <c r="C831" s="3">
        <v>45401</v>
      </c>
      <c r="D831" s="3" t="s">
        <v>50</v>
      </c>
      <c r="E831" s="4" t="s">
        <v>26</v>
      </c>
      <c r="F831" s="4" t="s">
        <v>67</v>
      </c>
      <c r="G831" s="4">
        <v>27</v>
      </c>
      <c r="H831" s="4">
        <v>389</v>
      </c>
      <c r="I831" s="4">
        <v>10503</v>
      </c>
      <c r="J831" s="4">
        <f>Table1[[#This Row],[Total Sale]]*0.2</f>
        <v>2100.6</v>
      </c>
      <c r="K831" s="4" t="s">
        <v>22</v>
      </c>
    </row>
    <row r="832" spans="3:11" x14ac:dyDescent="0.3">
      <c r="C832" s="3">
        <v>45401</v>
      </c>
      <c r="D832" s="3" t="s">
        <v>41</v>
      </c>
      <c r="E832" s="4" t="s">
        <v>6</v>
      </c>
      <c r="F832" s="4" t="s">
        <v>68</v>
      </c>
      <c r="G832" s="4">
        <v>40</v>
      </c>
      <c r="H832" s="4">
        <v>448</v>
      </c>
      <c r="I832" s="4">
        <v>17920</v>
      </c>
      <c r="J832" s="4">
        <f>Table1[[#This Row],[Total Sale]]*0.2</f>
        <v>3584</v>
      </c>
      <c r="K832" s="4" t="s">
        <v>8</v>
      </c>
    </row>
    <row r="833" spans="3:11" x14ac:dyDescent="0.3">
      <c r="C833" s="3">
        <v>45401</v>
      </c>
      <c r="D833" s="3" t="s">
        <v>44</v>
      </c>
      <c r="E833" s="4" t="s">
        <v>18</v>
      </c>
      <c r="F833" s="4" t="s">
        <v>65</v>
      </c>
      <c r="G833" s="4">
        <v>49</v>
      </c>
      <c r="H833" s="4">
        <v>412</v>
      </c>
      <c r="I833" s="4">
        <v>20188</v>
      </c>
      <c r="J833" s="4">
        <f>Table1[[#This Row],[Total Sale]]*0.2</f>
        <v>4037.6000000000004</v>
      </c>
      <c r="K833" s="4" t="s">
        <v>22</v>
      </c>
    </row>
    <row r="834" spans="3:11" x14ac:dyDescent="0.3">
      <c r="C834" s="3">
        <v>45400</v>
      </c>
      <c r="D834" s="3" t="s">
        <v>49</v>
      </c>
      <c r="E834" s="4" t="s">
        <v>27</v>
      </c>
      <c r="F834" s="4" t="s">
        <v>53</v>
      </c>
      <c r="G834" s="4">
        <v>33</v>
      </c>
      <c r="H834" s="4">
        <v>340</v>
      </c>
      <c r="I834" s="4">
        <v>11220</v>
      </c>
      <c r="J834" s="4">
        <f>Table1[[#This Row],[Total Sale]]*0.2</f>
        <v>2244</v>
      </c>
      <c r="K834" s="4" t="s">
        <v>23</v>
      </c>
    </row>
    <row r="835" spans="3:11" x14ac:dyDescent="0.3">
      <c r="C835" s="3">
        <v>45400</v>
      </c>
      <c r="D835" s="3" t="s">
        <v>45</v>
      </c>
      <c r="E835" s="4" t="s">
        <v>26</v>
      </c>
      <c r="F835" s="4" t="s">
        <v>56</v>
      </c>
      <c r="G835" s="4">
        <v>15</v>
      </c>
      <c r="H835" s="4">
        <v>344</v>
      </c>
      <c r="I835" s="4">
        <v>5160</v>
      </c>
      <c r="J835" s="4">
        <f>Table1[[#This Row],[Total Sale]]*0.2</f>
        <v>1032</v>
      </c>
      <c r="K835" s="4" t="s">
        <v>9</v>
      </c>
    </row>
    <row r="836" spans="3:11" x14ac:dyDescent="0.3">
      <c r="C836" s="3">
        <v>45400</v>
      </c>
      <c r="D836" s="3" t="s">
        <v>31</v>
      </c>
      <c r="E836" s="4" t="s">
        <v>6</v>
      </c>
      <c r="F836" s="4" t="s">
        <v>67</v>
      </c>
      <c r="G836" s="4">
        <v>13</v>
      </c>
      <c r="H836" s="4">
        <v>351</v>
      </c>
      <c r="I836" s="4">
        <v>4563</v>
      </c>
      <c r="J836" s="4">
        <f>Table1[[#This Row],[Total Sale]]*0.2</f>
        <v>912.6</v>
      </c>
      <c r="K836" s="4" t="s">
        <v>15</v>
      </c>
    </row>
    <row r="837" spans="3:11" x14ac:dyDescent="0.3">
      <c r="C837" s="3">
        <v>45400</v>
      </c>
      <c r="D837" s="3" t="s">
        <v>42</v>
      </c>
      <c r="E837" s="4" t="s">
        <v>16</v>
      </c>
      <c r="F837" s="4" t="s">
        <v>57</v>
      </c>
      <c r="G837" s="4">
        <v>48</v>
      </c>
      <c r="H837" s="4">
        <v>213</v>
      </c>
      <c r="I837" s="4">
        <v>10224</v>
      </c>
      <c r="J837" s="4">
        <f>Table1[[#This Row],[Total Sale]]*0.2</f>
        <v>2044.8000000000002</v>
      </c>
      <c r="K837" s="4" t="s">
        <v>7</v>
      </c>
    </row>
    <row r="838" spans="3:11" x14ac:dyDescent="0.3">
      <c r="C838" s="3">
        <v>45399</v>
      </c>
      <c r="D838" s="3" t="s">
        <v>34</v>
      </c>
      <c r="E838" s="4" t="s">
        <v>27</v>
      </c>
      <c r="F838" s="4" t="s">
        <v>66</v>
      </c>
      <c r="G838" s="4">
        <v>49</v>
      </c>
      <c r="H838" s="4">
        <v>332</v>
      </c>
      <c r="I838" s="4">
        <v>16268</v>
      </c>
      <c r="J838" s="4">
        <f>Table1[[#This Row],[Total Sale]]*0.2</f>
        <v>3253.6000000000004</v>
      </c>
      <c r="K838" s="4" t="s">
        <v>7</v>
      </c>
    </row>
    <row r="839" spans="3:11" x14ac:dyDescent="0.3">
      <c r="C839" s="3">
        <v>45399</v>
      </c>
      <c r="D839" s="3" t="s">
        <v>45</v>
      </c>
      <c r="E839" s="4" t="s">
        <v>11</v>
      </c>
      <c r="F839" s="4" t="s">
        <v>52</v>
      </c>
      <c r="G839" s="4">
        <v>36</v>
      </c>
      <c r="H839" s="4">
        <v>301</v>
      </c>
      <c r="I839" s="4">
        <v>10836</v>
      </c>
      <c r="J839" s="4">
        <f>Table1[[#This Row],[Total Sale]]*0.2</f>
        <v>2167.2000000000003</v>
      </c>
      <c r="K839" s="4" t="s">
        <v>19</v>
      </c>
    </row>
    <row r="840" spans="3:11" x14ac:dyDescent="0.3">
      <c r="C840" s="3">
        <v>45399</v>
      </c>
      <c r="D840" s="3" t="s">
        <v>40</v>
      </c>
      <c r="E840" s="4" t="s">
        <v>10</v>
      </c>
      <c r="F840" s="4" t="s">
        <v>64</v>
      </c>
      <c r="G840" s="4">
        <v>14</v>
      </c>
      <c r="H840" s="4">
        <v>471</v>
      </c>
      <c r="I840" s="4">
        <v>6594</v>
      </c>
      <c r="J840" s="4">
        <f>Table1[[#This Row],[Total Sale]]*0.2</f>
        <v>1318.8000000000002</v>
      </c>
      <c r="K840" s="4" t="s">
        <v>22</v>
      </c>
    </row>
    <row r="841" spans="3:11" x14ac:dyDescent="0.3">
      <c r="C841" s="3">
        <v>45399</v>
      </c>
      <c r="D841" s="3" t="s">
        <v>32</v>
      </c>
      <c r="E841" s="4" t="s">
        <v>29</v>
      </c>
      <c r="F841" s="4" t="s">
        <v>57</v>
      </c>
      <c r="G841" s="4">
        <v>17</v>
      </c>
      <c r="H841" s="4">
        <v>320</v>
      </c>
      <c r="I841" s="4">
        <v>5440</v>
      </c>
      <c r="J841" s="4">
        <f>Table1[[#This Row],[Total Sale]]*0.2</f>
        <v>1088</v>
      </c>
      <c r="K841" s="4" t="s">
        <v>12</v>
      </c>
    </row>
    <row r="842" spans="3:11" x14ac:dyDescent="0.3">
      <c r="C842" s="3">
        <v>45398</v>
      </c>
      <c r="D842" s="3" t="s">
        <v>50</v>
      </c>
      <c r="E842" s="4" t="s">
        <v>16</v>
      </c>
      <c r="F842" s="4" t="s">
        <v>52</v>
      </c>
      <c r="G842" s="4">
        <v>38</v>
      </c>
      <c r="H842" s="4">
        <v>480</v>
      </c>
      <c r="I842" s="4">
        <v>18240</v>
      </c>
      <c r="J842" s="4">
        <f>Table1[[#This Row],[Total Sale]]*0.2</f>
        <v>3648</v>
      </c>
      <c r="K842" s="4" t="s">
        <v>28</v>
      </c>
    </row>
    <row r="843" spans="3:11" x14ac:dyDescent="0.3">
      <c r="C843" s="3">
        <v>45397</v>
      </c>
      <c r="D843" s="3" t="s">
        <v>31</v>
      </c>
      <c r="E843" s="4" t="s">
        <v>13</v>
      </c>
      <c r="F843" s="4" t="s">
        <v>53</v>
      </c>
      <c r="G843" s="4">
        <v>15</v>
      </c>
      <c r="H843" s="4">
        <v>297</v>
      </c>
      <c r="I843" s="4">
        <v>4455</v>
      </c>
      <c r="J843" s="4">
        <f>Table1[[#This Row],[Total Sale]]*0.2</f>
        <v>891</v>
      </c>
      <c r="K843" s="4" t="s">
        <v>24</v>
      </c>
    </row>
    <row r="844" spans="3:11" x14ac:dyDescent="0.3">
      <c r="C844" s="3">
        <v>45396</v>
      </c>
      <c r="D844" s="3" t="s">
        <v>34</v>
      </c>
      <c r="E844" s="4" t="s">
        <v>27</v>
      </c>
      <c r="F844" s="4" t="s">
        <v>64</v>
      </c>
      <c r="G844" s="4">
        <v>13</v>
      </c>
      <c r="H844" s="4">
        <v>413</v>
      </c>
      <c r="I844" s="4">
        <v>5369</v>
      </c>
      <c r="J844" s="4">
        <f>Table1[[#This Row],[Total Sale]]*0.2</f>
        <v>1073.8</v>
      </c>
      <c r="K844" s="4" t="s">
        <v>22</v>
      </c>
    </row>
    <row r="845" spans="3:11" x14ac:dyDescent="0.3">
      <c r="C845" s="3">
        <v>45396</v>
      </c>
      <c r="D845" s="3" t="s">
        <v>36</v>
      </c>
      <c r="E845" s="4" t="s">
        <v>26</v>
      </c>
      <c r="F845" s="4" t="s">
        <v>62</v>
      </c>
      <c r="G845" s="4">
        <v>22</v>
      </c>
      <c r="H845" s="4">
        <v>216</v>
      </c>
      <c r="I845" s="4">
        <v>4752</v>
      </c>
      <c r="J845" s="4">
        <f>Table1[[#This Row],[Total Sale]]*0.2</f>
        <v>950.40000000000009</v>
      </c>
      <c r="K845" s="4" t="s">
        <v>17</v>
      </c>
    </row>
    <row r="846" spans="3:11" x14ac:dyDescent="0.3">
      <c r="C846" s="3">
        <v>45396</v>
      </c>
      <c r="D846" s="3" t="s">
        <v>34</v>
      </c>
      <c r="E846" s="4" t="s">
        <v>11</v>
      </c>
      <c r="F846" s="4" t="s">
        <v>59</v>
      </c>
      <c r="G846" s="4">
        <v>32</v>
      </c>
      <c r="H846" s="4">
        <v>405</v>
      </c>
      <c r="I846" s="4">
        <v>12960</v>
      </c>
      <c r="J846" s="4">
        <f>Table1[[#This Row],[Total Sale]]*0.2</f>
        <v>2592</v>
      </c>
      <c r="K846" s="4" t="s">
        <v>20</v>
      </c>
    </row>
    <row r="847" spans="3:11" x14ac:dyDescent="0.3">
      <c r="C847" s="3">
        <v>45396</v>
      </c>
      <c r="D847" s="3" t="s">
        <v>38</v>
      </c>
      <c r="E847" s="4" t="s">
        <v>6</v>
      </c>
      <c r="F847" s="4" t="s">
        <v>66</v>
      </c>
      <c r="G847" s="4">
        <v>26</v>
      </c>
      <c r="H847" s="4">
        <v>308</v>
      </c>
      <c r="I847" s="4">
        <v>8008</v>
      </c>
      <c r="J847" s="4">
        <f>Table1[[#This Row],[Total Sale]]*0.2</f>
        <v>1601.6000000000001</v>
      </c>
      <c r="K847" s="4" t="s">
        <v>21</v>
      </c>
    </row>
    <row r="848" spans="3:11" x14ac:dyDescent="0.3">
      <c r="C848" s="3">
        <v>45395</v>
      </c>
      <c r="D848" s="3" t="s">
        <v>49</v>
      </c>
      <c r="E848" s="4" t="s">
        <v>25</v>
      </c>
      <c r="F848" s="4" t="s">
        <v>52</v>
      </c>
      <c r="G848" s="4">
        <v>36</v>
      </c>
      <c r="H848" s="4">
        <v>270</v>
      </c>
      <c r="I848" s="4">
        <v>9720</v>
      </c>
      <c r="J848" s="4">
        <f>Table1[[#This Row],[Total Sale]]*0.2</f>
        <v>1944</v>
      </c>
      <c r="K848" s="4" t="s">
        <v>15</v>
      </c>
    </row>
    <row r="849" spans="3:11" x14ac:dyDescent="0.3">
      <c r="C849" s="3">
        <v>45395</v>
      </c>
      <c r="D849" s="3" t="s">
        <v>44</v>
      </c>
      <c r="E849" s="4" t="s">
        <v>18</v>
      </c>
      <c r="F849" s="4" t="s">
        <v>59</v>
      </c>
      <c r="G849" s="4">
        <v>20</v>
      </c>
      <c r="H849" s="4">
        <v>388</v>
      </c>
      <c r="I849" s="4">
        <v>7760</v>
      </c>
      <c r="J849" s="4">
        <f>Table1[[#This Row],[Total Sale]]*0.2</f>
        <v>1552</v>
      </c>
      <c r="K849" s="4" t="s">
        <v>20</v>
      </c>
    </row>
    <row r="850" spans="3:11" x14ac:dyDescent="0.3">
      <c r="C850" s="3">
        <v>45394</v>
      </c>
      <c r="D850" s="3" t="s">
        <v>49</v>
      </c>
      <c r="E850" s="4" t="s">
        <v>6</v>
      </c>
      <c r="F850" s="4" t="s">
        <v>59</v>
      </c>
      <c r="G850" s="4">
        <v>36</v>
      </c>
      <c r="H850" s="4">
        <v>276</v>
      </c>
      <c r="I850" s="4">
        <v>9936</v>
      </c>
      <c r="J850" s="4">
        <f>Table1[[#This Row],[Total Sale]]*0.2</f>
        <v>1987.2</v>
      </c>
      <c r="K850" s="4" t="s">
        <v>22</v>
      </c>
    </row>
    <row r="851" spans="3:11" x14ac:dyDescent="0.3">
      <c r="C851" s="3">
        <v>45393</v>
      </c>
      <c r="D851" s="3" t="s">
        <v>38</v>
      </c>
      <c r="E851" s="4" t="s">
        <v>13</v>
      </c>
      <c r="F851" s="4" t="s">
        <v>69</v>
      </c>
      <c r="G851" s="4">
        <v>37</v>
      </c>
      <c r="H851" s="4">
        <v>261</v>
      </c>
      <c r="I851" s="4">
        <v>9657</v>
      </c>
      <c r="J851" s="4">
        <f>Table1[[#This Row],[Total Sale]]*0.2</f>
        <v>1931.4</v>
      </c>
      <c r="K851" s="4" t="s">
        <v>24</v>
      </c>
    </row>
    <row r="852" spans="3:11" x14ac:dyDescent="0.3">
      <c r="C852" s="3">
        <v>45392</v>
      </c>
      <c r="D852" s="3" t="s">
        <v>35</v>
      </c>
      <c r="E852" s="4" t="s">
        <v>27</v>
      </c>
      <c r="F852" s="4" t="s">
        <v>64</v>
      </c>
      <c r="G852" s="4">
        <v>35</v>
      </c>
      <c r="H852" s="4">
        <v>222</v>
      </c>
      <c r="I852" s="4">
        <v>7770</v>
      </c>
      <c r="J852" s="4">
        <f>Table1[[#This Row],[Total Sale]]*0.2</f>
        <v>1554</v>
      </c>
      <c r="K852" s="4" t="s">
        <v>17</v>
      </c>
    </row>
    <row r="853" spans="3:11" x14ac:dyDescent="0.3">
      <c r="C853" s="3">
        <v>45392</v>
      </c>
      <c r="D853" s="3" t="s">
        <v>49</v>
      </c>
      <c r="E853" s="4" t="s">
        <v>11</v>
      </c>
      <c r="F853" s="4" t="s">
        <v>61</v>
      </c>
      <c r="G853" s="4">
        <v>16</v>
      </c>
      <c r="H853" s="4">
        <v>459</v>
      </c>
      <c r="I853" s="4">
        <v>7344</v>
      </c>
      <c r="J853" s="4">
        <f>Table1[[#This Row],[Total Sale]]*0.2</f>
        <v>1468.8000000000002</v>
      </c>
      <c r="K853" s="4" t="s">
        <v>7</v>
      </c>
    </row>
    <row r="854" spans="3:11" x14ac:dyDescent="0.3">
      <c r="C854" s="3">
        <v>45392</v>
      </c>
      <c r="D854" s="3" t="s">
        <v>44</v>
      </c>
      <c r="E854" s="4" t="s">
        <v>11</v>
      </c>
      <c r="F854" s="4" t="s">
        <v>70</v>
      </c>
      <c r="G854" s="4">
        <v>13</v>
      </c>
      <c r="H854" s="4">
        <v>420</v>
      </c>
      <c r="I854" s="4">
        <v>5460</v>
      </c>
      <c r="J854" s="4">
        <f>Table1[[#This Row],[Total Sale]]*0.2</f>
        <v>1092</v>
      </c>
      <c r="K854" s="4" t="s">
        <v>21</v>
      </c>
    </row>
    <row r="855" spans="3:11" x14ac:dyDescent="0.3">
      <c r="C855" s="3">
        <v>45392</v>
      </c>
      <c r="D855" s="3" t="s">
        <v>33</v>
      </c>
      <c r="E855" s="4" t="s">
        <v>13</v>
      </c>
      <c r="F855" s="4" t="s">
        <v>57</v>
      </c>
      <c r="G855" s="4">
        <v>15</v>
      </c>
      <c r="H855" s="4">
        <v>291</v>
      </c>
      <c r="I855" s="4">
        <v>4365</v>
      </c>
      <c r="J855" s="4">
        <f>Table1[[#This Row],[Total Sale]]*0.2</f>
        <v>873</v>
      </c>
      <c r="K855" s="4" t="s">
        <v>23</v>
      </c>
    </row>
    <row r="856" spans="3:11" x14ac:dyDescent="0.3">
      <c r="C856" s="3">
        <v>45391</v>
      </c>
      <c r="D856" s="3" t="s">
        <v>42</v>
      </c>
      <c r="E856" s="4" t="s">
        <v>27</v>
      </c>
      <c r="F856" s="4" t="s">
        <v>58</v>
      </c>
      <c r="G856" s="4">
        <v>30</v>
      </c>
      <c r="H856" s="4">
        <v>491</v>
      </c>
      <c r="I856" s="4">
        <v>14730</v>
      </c>
      <c r="J856" s="4">
        <f>Table1[[#This Row],[Total Sale]]*0.2</f>
        <v>2946</v>
      </c>
      <c r="K856" s="4" t="s">
        <v>28</v>
      </c>
    </row>
    <row r="857" spans="3:11" x14ac:dyDescent="0.3">
      <c r="C857" s="3">
        <v>45391</v>
      </c>
      <c r="D857" s="3" t="s">
        <v>36</v>
      </c>
      <c r="E857" s="4" t="s">
        <v>10</v>
      </c>
      <c r="F857" s="4" t="s">
        <v>68</v>
      </c>
      <c r="G857" s="4">
        <v>44</v>
      </c>
      <c r="H857" s="4">
        <v>344</v>
      </c>
      <c r="I857" s="4">
        <v>15136</v>
      </c>
      <c r="J857" s="4">
        <f>Table1[[#This Row],[Total Sale]]*0.2</f>
        <v>3027.2000000000003</v>
      </c>
      <c r="K857" s="4" t="s">
        <v>22</v>
      </c>
    </row>
    <row r="858" spans="3:11" x14ac:dyDescent="0.3">
      <c r="C858" s="3">
        <v>45390</v>
      </c>
      <c r="D858" s="3" t="s">
        <v>42</v>
      </c>
      <c r="E858" s="4" t="s">
        <v>10</v>
      </c>
      <c r="F858" s="4" t="s">
        <v>51</v>
      </c>
      <c r="G858" s="4">
        <v>37</v>
      </c>
      <c r="H858" s="4">
        <v>444</v>
      </c>
      <c r="I858" s="4">
        <v>16428</v>
      </c>
      <c r="J858" s="4">
        <f>Table1[[#This Row],[Total Sale]]*0.2</f>
        <v>3285.6000000000004</v>
      </c>
      <c r="K858" s="4" t="s">
        <v>9</v>
      </c>
    </row>
    <row r="859" spans="3:11" x14ac:dyDescent="0.3">
      <c r="C859" s="3">
        <v>45390</v>
      </c>
      <c r="D859" s="3" t="s">
        <v>45</v>
      </c>
      <c r="E859" s="4" t="s">
        <v>13</v>
      </c>
      <c r="F859" s="4" t="s">
        <v>60</v>
      </c>
      <c r="G859" s="4">
        <v>18</v>
      </c>
      <c r="H859" s="4">
        <v>415</v>
      </c>
      <c r="I859" s="4">
        <v>7470</v>
      </c>
      <c r="J859" s="4">
        <f>Table1[[#This Row],[Total Sale]]*0.2</f>
        <v>1494</v>
      </c>
      <c r="K859" s="4" t="s">
        <v>17</v>
      </c>
    </row>
    <row r="860" spans="3:11" x14ac:dyDescent="0.3">
      <c r="C860" s="3">
        <v>45390</v>
      </c>
      <c r="D860" s="3" t="s">
        <v>39</v>
      </c>
      <c r="E860" s="4" t="s">
        <v>6</v>
      </c>
      <c r="F860" s="4" t="s">
        <v>59</v>
      </c>
      <c r="G860" s="4">
        <v>45</v>
      </c>
      <c r="H860" s="4">
        <v>295</v>
      </c>
      <c r="I860" s="4">
        <v>13275</v>
      </c>
      <c r="J860" s="4">
        <f>Table1[[#This Row],[Total Sale]]*0.2</f>
        <v>2655</v>
      </c>
      <c r="K860" s="4" t="s">
        <v>21</v>
      </c>
    </row>
    <row r="861" spans="3:11" x14ac:dyDescent="0.3">
      <c r="C861" s="3">
        <v>45389</v>
      </c>
      <c r="D861" s="3" t="s">
        <v>40</v>
      </c>
      <c r="E861" s="4" t="s">
        <v>11</v>
      </c>
      <c r="F861" s="4" t="s">
        <v>59</v>
      </c>
      <c r="G861" s="4">
        <v>21</v>
      </c>
      <c r="H861" s="4">
        <v>391</v>
      </c>
      <c r="I861" s="4">
        <v>8211</v>
      </c>
      <c r="J861" s="4">
        <f>Table1[[#This Row],[Total Sale]]*0.2</f>
        <v>1642.2</v>
      </c>
      <c r="K861" s="4" t="s">
        <v>28</v>
      </c>
    </row>
    <row r="862" spans="3:11" x14ac:dyDescent="0.3">
      <c r="C862" s="3">
        <v>45389</v>
      </c>
      <c r="D862" s="3" t="s">
        <v>48</v>
      </c>
      <c r="E862" s="4" t="s">
        <v>13</v>
      </c>
      <c r="F862" s="4" t="s">
        <v>63</v>
      </c>
      <c r="G862" s="4">
        <v>28</v>
      </c>
      <c r="H862" s="4">
        <v>356</v>
      </c>
      <c r="I862" s="4">
        <v>9968</v>
      </c>
      <c r="J862" s="4">
        <f>Table1[[#This Row],[Total Sale]]*0.2</f>
        <v>1993.6000000000001</v>
      </c>
      <c r="K862" s="4" t="s">
        <v>17</v>
      </c>
    </row>
    <row r="863" spans="3:11" x14ac:dyDescent="0.3">
      <c r="C863" s="3">
        <v>45389</v>
      </c>
      <c r="D863" s="3" t="s">
        <v>38</v>
      </c>
      <c r="E863" s="4" t="s">
        <v>6</v>
      </c>
      <c r="F863" s="4" t="s">
        <v>66</v>
      </c>
      <c r="G863" s="4">
        <v>46</v>
      </c>
      <c r="H863" s="4">
        <v>434</v>
      </c>
      <c r="I863" s="4">
        <v>19964</v>
      </c>
      <c r="J863" s="4">
        <f>Table1[[#This Row],[Total Sale]]*0.2</f>
        <v>3992.8</v>
      </c>
      <c r="K863" s="4" t="s">
        <v>21</v>
      </c>
    </row>
    <row r="864" spans="3:11" x14ac:dyDescent="0.3">
      <c r="C864" s="3">
        <v>45388</v>
      </c>
      <c r="D864" s="3" t="s">
        <v>41</v>
      </c>
      <c r="E864" s="4" t="s">
        <v>26</v>
      </c>
      <c r="F864" s="4" t="s">
        <v>69</v>
      </c>
      <c r="G864" s="4">
        <v>36</v>
      </c>
      <c r="H864" s="4">
        <v>464</v>
      </c>
      <c r="I864" s="4">
        <v>16704</v>
      </c>
      <c r="J864" s="4">
        <f>Table1[[#This Row],[Total Sale]]*0.2</f>
        <v>3340.8</v>
      </c>
      <c r="K864" s="4" t="s">
        <v>23</v>
      </c>
    </row>
    <row r="865" spans="3:11" x14ac:dyDescent="0.3">
      <c r="C865" s="3">
        <v>45388</v>
      </c>
      <c r="D865" s="3" t="s">
        <v>36</v>
      </c>
      <c r="E865" s="4" t="s">
        <v>29</v>
      </c>
      <c r="F865" s="4" t="s">
        <v>60</v>
      </c>
      <c r="G865" s="4">
        <v>28</v>
      </c>
      <c r="H865" s="4">
        <v>426</v>
      </c>
      <c r="I865" s="4">
        <v>11928</v>
      </c>
      <c r="J865" s="4">
        <f>Table1[[#This Row],[Total Sale]]*0.2</f>
        <v>2385.6</v>
      </c>
      <c r="K865" s="4" t="s">
        <v>28</v>
      </c>
    </row>
    <row r="866" spans="3:11" x14ac:dyDescent="0.3">
      <c r="C866" s="3">
        <v>45387</v>
      </c>
      <c r="D866" s="3" t="s">
        <v>31</v>
      </c>
      <c r="E866" s="4" t="s">
        <v>16</v>
      </c>
      <c r="F866" s="4" t="s">
        <v>57</v>
      </c>
      <c r="G866" s="4">
        <v>43</v>
      </c>
      <c r="H866" s="4">
        <v>321</v>
      </c>
      <c r="I866" s="4">
        <v>13803</v>
      </c>
      <c r="J866" s="4">
        <f>Table1[[#This Row],[Total Sale]]*0.2</f>
        <v>2760.6000000000004</v>
      </c>
      <c r="K866" s="4" t="s">
        <v>24</v>
      </c>
    </row>
    <row r="867" spans="3:11" x14ac:dyDescent="0.3">
      <c r="C867" s="3">
        <v>45386</v>
      </c>
      <c r="D867" s="3" t="s">
        <v>49</v>
      </c>
      <c r="E867" s="4" t="s">
        <v>13</v>
      </c>
      <c r="F867" s="4" t="s">
        <v>66</v>
      </c>
      <c r="G867" s="4">
        <v>25</v>
      </c>
      <c r="H867" s="4">
        <v>424</v>
      </c>
      <c r="I867" s="4">
        <v>10600</v>
      </c>
      <c r="J867" s="4">
        <f>Table1[[#This Row],[Total Sale]]*0.2</f>
        <v>2120</v>
      </c>
      <c r="K867" s="4" t="s">
        <v>7</v>
      </c>
    </row>
    <row r="868" spans="3:11" x14ac:dyDescent="0.3">
      <c r="C868" s="3">
        <v>45385</v>
      </c>
      <c r="D868" s="3" t="s">
        <v>43</v>
      </c>
      <c r="E868" s="4" t="s">
        <v>26</v>
      </c>
      <c r="F868" s="4" t="s">
        <v>65</v>
      </c>
      <c r="G868" s="4">
        <v>34</v>
      </c>
      <c r="H868" s="4">
        <v>374</v>
      </c>
      <c r="I868" s="4">
        <v>12716</v>
      </c>
      <c r="J868" s="4">
        <f>Table1[[#This Row],[Total Sale]]*0.2</f>
        <v>2543.2000000000003</v>
      </c>
      <c r="K868" s="4" t="s">
        <v>17</v>
      </c>
    </row>
    <row r="869" spans="3:11" x14ac:dyDescent="0.3">
      <c r="C869" s="3">
        <v>45385</v>
      </c>
      <c r="D869" s="3" t="s">
        <v>46</v>
      </c>
      <c r="E869" s="4" t="s">
        <v>6</v>
      </c>
      <c r="F869" s="4" t="s">
        <v>54</v>
      </c>
      <c r="G869" s="4">
        <v>12</v>
      </c>
      <c r="H869" s="4">
        <v>487</v>
      </c>
      <c r="I869" s="4">
        <v>5844</v>
      </c>
      <c r="J869" s="4">
        <f>Table1[[#This Row],[Total Sale]]*0.2</f>
        <v>1168.8</v>
      </c>
      <c r="K869" s="4" t="s">
        <v>17</v>
      </c>
    </row>
    <row r="870" spans="3:11" x14ac:dyDescent="0.3">
      <c r="C870" s="3">
        <v>45384</v>
      </c>
      <c r="D870" s="3" t="s">
        <v>44</v>
      </c>
      <c r="E870" s="4" t="s">
        <v>11</v>
      </c>
      <c r="F870" s="4" t="s">
        <v>64</v>
      </c>
      <c r="G870" s="4">
        <v>39</v>
      </c>
      <c r="H870" s="4">
        <v>456</v>
      </c>
      <c r="I870" s="4">
        <v>17784</v>
      </c>
      <c r="J870" s="4">
        <f>Table1[[#This Row],[Total Sale]]*0.2</f>
        <v>3556.8</v>
      </c>
      <c r="K870" s="4" t="s">
        <v>8</v>
      </c>
    </row>
    <row r="871" spans="3:11" x14ac:dyDescent="0.3">
      <c r="C871" s="3">
        <v>45382</v>
      </c>
      <c r="D871" s="3" t="s">
        <v>45</v>
      </c>
      <c r="E871" s="4" t="s">
        <v>16</v>
      </c>
      <c r="F871" s="4" t="s">
        <v>66</v>
      </c>
      <c r="G871" s="4">
        <v>12</v>
      </c>
      <c r="H871" s="4">
        <v>235</v>
      </c>
      <c r="I871" s="4">
        <v>2820</v>
      </c>
      <c r="J871" s="4">
        <f>Table1[[#This Row],[Total Sale]]*0.2</f>
        <v>564</v>
      </c>
      <c r="K871" s="4" t="s">
        <v>8</v>
      </c>
    </row>
    <row r="872" spans="3:11" x14ac:dyDescent="0.3">
      <c r="C872" s="3">
        <v>45381</v>
      </c>
      <c r="D872" s="3" t="s">
        <v>43</v>
      </c>
      <c r="E872" s="4" t="s">
        <v>11</v>
      </c>
      <c r="F872" s="4" t="s">
        <v>62</v>
      </c>
      <c r="G872" s="4">
        <v>24</v>
      </c>
      <c r="H872" s="4">
        <v>288</v>
      </c>
      <c r="I872" s="4">
        <v>6912</v>
      </c>
      <c r="J872" s="4">
        <f>Table1[[#This Row],[Total Sale]]*0.2</f>
        <v>1382.4</v>
      </c>
      <c r="K872" s="4" t="s">
        <v>21</v>
      </c>
    </row>
    <row r="873" spans="3:11" x14ac:dyDescent="0.3">
      <c r="C873" s="3">
        <v>45381</v>
      </c>
      <c r="D873" s="3" t="s">
        <v>37</v>
      </c>
      <c r="E873" s="4" t="s">
        <v>10</v>
      </c>
      <c r="F873" s="4" t="s">
        <v>59</v>
      </c>
      <c r="G873" s="4">
        <v>10</v>
      </c>
      <c r="H873" s="4">
        <v>235</v>
      </c>
      <c r="I873" s="4">
        <v>2350</v>
      </c>
      <c r="J873" s="4">
        <f>Table1[[#This Row],[Total Sale]]*0.2</f>
        <v>470</v>
      </c>
      <c r="K873" s="4" t="s">
        <v>9</v>
      </c>
    </row>
    <row r="874" spans="3:11" x14ac:dyDescent="0.3">
      <c r="C874" s="3">
        <v>45380</v>
      </c>
      <c r="D874" s="3" t="s">
        <v>37</v>
      </c>
      <c r="E874" s="4" t="s">
        <v>29</v>
      </c>
      <c r="F874" s="4" t="s">
        <v>70</v>
      </c>
      <c r="G874" s="4">
        <v>21</v>
      </c>
      <c r="H874" s="4">
        <v>325</v>
      </c>
      <c r="I874" s="4">
        <v>6825</v>
      </c>
      <c r="J874" s="4">
        <f>Table1[[#This Row],[Total Sale]]*0.2</f>
        <v>1365</v>
      </c>
      <c r="K874" s="4" t="s">
        <v>9</v>
      </c>
    </row>
    <row r="875" spans="3:11" x14ac:dyDescent="0.3">
      <c r="C875" s="3">
        <v>45379</v>
      </c>
      <c r="D875" s="3" t="s">
        <v>45</v>
      </c>
      <c r="E875" s="4" t="s">
        <v>25</v>
      </c>
      <c r="F875" s="4" t="s">
        <v>59</v>
      </c>
      <c r="G875" s="4">
        <v>12</v>
      </c>
      <c r="H875" s="4">
        <v>428</v>
      </c>
      <c r="I875" s="4">
        <v>5136</v>
      </c>
      <c r="J875" s="4">
        <f>Table1[[#This Row],[Total Sale]]*0.2</f>
        <v>1027.2</v>
      </c>
      <c r="K875" s="4" t="s">
        <v>9</v>
      </c>
    </row>
    <row r="876" spans="3:11" x14ac:dyDescent="0.3">
      <c r="C876" s="3">
        <v>45378</v>
      </c>
      <c r="D876" s="3" t="s">
        <v>45</v>
      </c>
      <c r="E876" s="4" t="s">
        <v>11</v>
      </c>
      <c r="F876" s="4" t="s">
        <v>57</v>
      </c>
      <c r="G876" s="4">
        <v>28</v>
      </c>
      <c r="H876" s="4">
        <v>473</v>
      </c>
      <c r="I876" s="4">
        <v>13244</v>
      </c>
      <c r="J876" s="4">
        <f>Table1[[#This Row],[Total Sale]]*0.2</f>
        <v>2648.8</v>
      </c>
      <c r="K876" s="4" t="s">
        <v>8</v>
      </c>
    </row>
    <row r="877" spans="3:11" x14ac:dyDescent="0.3">
      <c r="C877" s="3">
        <v>45378</v>
      </c>
      <c r="D877" s="3" t="s">
        <v>44</v>
      </c>
      <c r="E877" s="4" t="s">
        <v>13</v>
      </c>
      <c r="F877" s="4" t="s">
        <v>51</v>
      </c>
      <c r="G877" s="4">
        <v>43</v>
      </c>
      <c r="H877" s="4">
        <v>409</v>
      </c>
      <c r="I877" s="4">
        <v>17587</v>
      </c>
      <c r="J877" s="4">
        <f>Table1[[#This Row],[Total Sale]]*0.2</f>
        <v>3517.4</v>
      </c>
      <c r="K877" s="4" t="s">
        <v>28</v>
      </c>
    </row>
    <row r="878" spans="3:11" x14ac:dyDescent="0.3">
      <c r="C878" s="3">
        <v>45378</v>
      </c>
      <c r="D878" s="3" t="s">
        <v>46</v>
      </c>
      <c r="E878" s="4" t="s">
        <v>18</v>
      </c>
      <c r="F878" s="4" t="s">
        <v>66</v>
      </c>
      <c r="G878" s="4">
        <v>50</v>
      </c>
      <c r="H878" s="4">
        <v>254</v>
      </c>
      <c r="I878" s="4">
        <v>12700</v>
      </c>
      <c r="J878" s="4">
        <f>Table1[[#This Row],[Total Sale]]*0.2</f>
        <v>2540</v>
      </c>
      <c r="K878" s="4" t="s">
        <v>17</v>
      </c>
    </row>
    <row r="879" spans="3:11" x14ac:dyDescent="0.3">
      <c r="C879" s="3">
        <v>45377</v>
      </c>
      <c r="D879" s="3" t="s">
        <v>36</v>
      </c>
      <c r="E879" s="4" t="s">
        <v>27</v>
      </c>
      <c r="F879" s="4" t="s">
        <v>63</v>
      </c>
      <c r="G879" s="4">
        <v>33</v>
      </c>
      <c r="H879" s="4">
        <v>340</v>
      </c>
      <c r="I879" s="4">
        <v>11220</v>
      </c>
      <c r="J879" s="4">
        <f>Table1[[#This Row],[Total Sale]]*0.2</f>
        <v>2244</v>
      </c>
      <c r="K879" s="4" t="s">
        <v>15</v>
      </c>
    </row>
    <row r="880" spans="3:11" x14ac:dyDescent="0.3">
      <c r="C880" s="3">
        <v>45377</v>
      </c>
      <c r="D880" s="3" t="s">
        <v>50</v>
      </c>
      <c r="E880" s="4" t="s">
        <v>6</v>
      </c>
      <c r="F880" s="4" t="s">
        <v>70</v>
      </c>
      <c r="G880" s="4">
        <v>44</v>
      </c>
      <c r="H880" s="4">
        <v>357</v>
      </c>
      <c r="I880" s="4">
        <v>15708</v>
      </c>
      <c r="J880" s="4">
        <f>Table1[[#This Row],[Total Sale]]*0.2</f>
        <v>3141.6000000000004</v>
      </c>
      <c r="K880" s="4" t="s">
        <v>23</v>
      </c>
    </row>
    <row r="881" spans="3:11" x14ac:dyDescent="0.3">
      <c r="C881" s="3">
        <v>45377</v>
      </c>
      <c r="D881" s="3" t="s">
        <v>45</v>
      </c>
      <c r="E881" s="4" t="s">
        <v>16</v>
      </c>
      <c r="F881" s="4" t="s">
        <v>62</v>
      </c>
      <c r="G881" s="4">
        <v>48</v>
      </c>
      <c r="H881" s="4">
        <v>247</v>
      </c>
      <c r="I881" s="4">
        <v>11856</v>
      </c>
      <c r="J881" s="4">
        <f>Table1[[#This Row],[Total Sale]]*0.2</f>
        <v>2371.2000000000003</v>
      </c>
      <c r="K881" s="4" t="s">
        <v>23</v>
      </c>
    </row>
    <row r="882" spans="3:11" x14ac:dyDescent="0.3">
      <c r="C882" s="3">
        <v>45373</v>
      </c>
      <c r="D882" s="3" t="s">
        <v>50</v>
      </c>
      <c r="E882" s="4" t="s">
        <v>11</v>
      </c>
      <c r="F882" s="4" t="s">
        <v>63</v>
      </c>
      <c r="G882" s="4">
        <v>39</v>
      </c>
      <c r="H882" s="4">
        <v>304</v>
      </c>
      <c r="I882" s="4">
        <v>11856</v>
      </c>
      <c r="J882" s="4">
        <f>Table1[[#This Row],[Total Sale]]*0.2</f>
        <v>2371.2000000000003</v>
      </c>
      <c r="K882" s="4" t="s">
        <v>14</v>
      </c>
    </row>
    <row r="883" spans="3:11" x14ac:dyDescent="0.3">
      <c r="C883" s="3">
        <v>45373</v>
      </c>
      <c r="D883" s="3" t="s">
        <v>45</v>
      </c>
      <c r="E883" s="4" t="s">
        <v>13</v>
      </c>
      <c r="F883" s="4" t="s">
        <v>61</v>
      </c>
      <c r="G883" s="4">
        <v>30</v>
      </c>
      <c r="H883" s="4">
        <v>483</v>
      </c>
      <c r="I883" s="4">
        <v>14490</v>
      </c>
      <c r="J883" s="4">
        <f>Table1[[#This Row],[Total Sale]]*0.2</f>
        <v>2898</v>
      </c>
      <c r="K883" s="4" t="s">
        <v>14</v>
      </c>
    </row>
    <row r="884" spans="3:11" x14ac:dyDescent="0.3">
      <c r="C884" s="3">
        <v>45373</v>
      </c>
      <c r="D884" s="3" t="s">
        <v>33</v>
      </c>
      <c r="E884" s="4" t="s">
        <v>13</v>
      </c>
      <c r="F884" s="4" t="s">
        <v>55</v>
      </c>
      <c r="G884" s="4">
        <v>23</v>
      </c>
      <c r="H884" s="4">
        <v>342</v>
      </c>
      <c r="I884" s="4">
        <v>7866</v>
      </c>
      <c r="J884" s="4">
        <f>Table1[[#This Row],[Total Sale]]*0.2</f>
        <v>1573.2</v>
      </c>
      <c r="K884" s="4" t="s">
        <v>21</v>
      </c>
    </row>
    <row r="885" spans="3:11" x14ac:dyDescent="0.3">
      <c r="C885" s="3">
        <v>45373</v>
      </c>
      <c r="D885" s="3" t="s">
        <v>41</v>
      </c>
      <c r="E885" s="4" t="s">
        <v>16</v>
      </c>
      <c r="F885" s="4" t="s">
        <v>52</v>
      </c>
      <c r="G885" s="4">
        <v>22</v>
      </c>
      <c r="H885" s="4">
        <v>400</v>
      </c>
      <c r="I885" s="4">
        <v>8800</v>
      </c>
      <c r="J885" s="4">
        <f>Table1[[#This Row],[Total Sale]]*0.2</f>
        <v>1760</v>
      </c>
      <c r="K885" s="4" t="s">
        <v>7</v>
      </c>
    </row>
    <row r="886" spans="3:11" x14ac:dyDescent="0.3">
      <c r="C886" s="3">
        <v>45372</v>
      </c>
      <c r="D886" s="3" t="s">
        <v>35</v>
      </c>
      <c r="E886" s="4" t="s">
        <v>13</v>
      </c>
      <c r="F886" s="4" t="s">
        <v>58</v>
      </c>
      <c r="G886" s="4">
        <v>43</v>
      </c>
      <c r="H886" s="4">
        <v>419</v>
      </c>
      <c r="I886" s="4">
        <v>18017</v>
      </c>
      <c r="J886" s="4">
        <f>Table1[[#This Row],[Total Sale]]*0.2</f>
        <v>3603.4</v>
      </c>
      <c r="K886" s="4" t="s">
        <v>21</v>
      </c>
    </row>
    <row r="887" spans="3:11" x14ac:dyDescent="0.3">
      <c r="C887" s="3">
        <v>45372</v>
      </c>
      <c r="D887" s="3" t="s">
        <v>47</v>
      </c>
      <c r="E887" s="4" t="s">
        <v>13</v>
      </c>
      <c r="F887" s="4" t="s">
        <v>57</v>
      </c>
      <c r="G887" s="4">
        <v>34</v>
      </c>
      <c r="H887" s="4">
        <v>329</v>
      </c>
      <c r="I887" s="4">
        <v>11186</v>
      </c>
      <c r="J887" s="4">
        <f>Table1[[#This Row],[Total Sale]]*0.2</f>
        <v>2237.2000000000003</v>
      </c>
      <c r="K887" s="4" t="s">
        <v>21</v>
      </c>
    </row>
    <row r="888" spans="3:11" x14ac:dyDescent="0.3">
      <c r="C888" s="3">
        <v>45372</v>
      </c>
      <c r="D888" s="3" t="s">
        <v>43</v>
      </c>
      <c r="E888" s="4" t="s">
        <v>16</v>
      </c>
      <c r="F888" s="4" t="s">
        <v>70</v>
      </c>
      <c r="G888" s="4">
        <v>13</v>
      </c>
      <c r="H888" s="4">
        <v>409</v>
      </c>
      <c r="I888" s="4">
        <v>5317</v>
      </c>
      <c r="J888" s="4">
        <f>Table1[[#This Row],[Total Sale]]*0.2</f>
        <v>1063.4000000000001</v>
      </c>
      <c r="K888" s="4" t="s">
        <v>7</v>
      </c>
    </row>
    <row r="889" spans="3:11" x14ac:dyDescent="0.3">
      <c r="C889" s="3">
        <v>45371</v>
      </c>
      <c r="D889" s="3" t="s">
        <v>49</v>
      </c>
      <c r="E889" s="4" t="s">
        <v>26</v>
      </c>
      <c r="F889" s="4" t="s">
        <v>57</v>
      </c>
      <c r="G889" s="4">
        <v>16</v>
      </c>
      <c r="H889" s="4">
        <v>428</v>
      </c>
      <c r="I889" s="4">
        <v>6848</v>
      </c>
      <c r="J889" s="4">
        <f>Table1[[#This Row],[Total Sale]]*0.2</f>
        <v>1369.6000000000001</v>
      </c>
      <c r="K889" s="4" t="s">
        <v>17</v>
      </c>
    </row>
    <row r="890" spans="3:11" x14ac:dyDescent="0.3">
      <c r="C890" s="3">
        <v>45371</v>
      </c>
      <c r="D890" s="3" t="s">
        <v>31</v>
      </c>
      <c r="E890" s="4" t="s">
        <v>11</v>
      </c>
      <c r="F890" s="4" t="s">
        <v>69</v>
      </c>
      <c r="G890" s="4">
        <v>26</v>
      </c>
      <c r="H890" s="4">
        <v>288</v>
      </c>
      <c r="I890" s="4">
        <v>7488</v>
      </c>
      <c r="J890" s="4">
        <f>Table1[[#This Row],[Total Sale]]*0.2</f>
        <v>1497.6000000000001</v>
      </c>
      <c r="K890" s="4" t="s">
        <v>20</v>
      </c>
    </row>
    <row r="891" spans="3:11" x14ac:dyDescent="0.3">
      <c r="C891" s="3">
        <v>45371</v>
      </c>
      <c r="D891" s="3" t="s">
        <v>49</v>
      </c>
      <c r="E891" s="4" t="s">
        <v>10</v>
      </c>
      <c r="F891" s="4" t="s">
        <v>51</v>
      </c>
      <c r="G891" s="4">
        <v>18</v>
      </c>
      <c r="H891" s="4">
        <v>410</v>
      </c>
      <c r="I891" s="4">
        <v>7380</v>
      </c>
      <c r="J891" s="4">
        <f>Table1[[#This Row],[Total Sale]]*0.2</f>
        <v>1476</v>
      </c>
      <c r="K891" s="4" t="s">
        <v>22</v>
      </c>
    </row>
    <row r="892" spans="3:11" x14ac:dyDescent="0.3">
      <c r="C892" s="3">
        <v>45371</v>
      </c>
      <c r="D892" s="3" t="s">
        <v>46</v>
      </c>
      <c r="E892" s="4" t="s">
        <v>13</v>
      </c>
      <c r="F892" s="4" t="s">
        <v>61</v>
      </c>
      <c r="G892" s="4">
        <v>24</v>
      </c>
      <c r="H892" s="4">
        <v>489</v>
      </c>
      <c r="I892" s="4">
        <v>11736</v>
      </c>
      <c r="J892" s="4">
        <f>Table1[[#This Row],[Total Sale]]*0.2</f>
        <v>2347.2000000000003</v>
      </c>
      <c r="K892" s="4" t="s">
        <v>12</v>
      </c>
    </row>
    <row r="893" spans="3:11" x14ac:dyDescent="0.3">
      <c r="C893" s="3">
        <v>45370</v>
      </c>
      <c r="D893" s="3" t="s">
        <v>48</v>
      </c>
      <c r="E893" s="4" t="s">
        <v>29</v>
      </c>
      <c r="F893" s="4" t="s">
        <v>69</v>
      </c>
      <c r="G893" s="4">
        <v>22</v>
      </c>
      <c r="H893" s="4">
        <v>434</v>
      </c>
      <c r="I893" s="4">
        <v>9548</v>
      </c>
      <c r="J893" s="4">
        <f>Table1[[#This Row],[Total Sale]]*0.2</f>
        <v>1909.6000000000001</v>
      </c>
      <c r="K893" s="4" t="s">
        <v>9</v>
      </c>
    </row>
    <row r="894" spans="3:11" x14ac:dyDescent="0.3">
      <c r="C894" s="3">
        <v>45369</v>
      </c>
      <c r="D894" s="3" t="s">
        <v>45</v>
      </c>
      <c r="E894" s="4" t="s">
        <v>18</v>
      </c>
      <c r="F894" s="4" t="s">
        <v>65</v>
      </c>
      <c r="G894" s="4">
        <v>46</v>
      </c>
      <c r="H894" s="4">
        <v>449</v>
      </c>
      <c r="I894" s="4">
        <v>20654</v>
      </c>
      <c r="J894" s="4">
        <f>Table1[[#This Row],[Total Sale]]*0.2</f>
        <v>4130.8</v>
      </c>
      <c r="K894" s="4" t="s">
        <v>7</v>
      </c>
    </row>
    <row r="895" spans="3:11" x14ac:dyDescent="0.3">
      <c r="C895" s="3">
        <v>45368</v>
      </c>
      <c r="D895" s="3" t="s">
        <v>46</v>
      </c>
      <c r="E895" s="4" t="s">
        <v>25</v>
      </c>
      <c r="F895" s="4" t="s">
        <v>66</v>
      </c>
      <c r="G895" s="4">
        <v>19</v>
      </c>
      <c r="H895" s="4">
        <v>287</v>
      </c>
      <c r="I895" s="4">
        <v>5453</v>
      </c>
      <c r="J895" s="4">
        <f>Table1[[#This Row],[Total Sale]]*0.2</f>
        <v>1090.6000000000001</v>
      </c>
      <c r="K895" s="4" t="s">
        <v>24</v>
      </c>
    </row>
    <row r="896" spans="3:11" x14ac:dyDescent="0.3">
      <c r="C896" s="3">
        <v>45368</v>
      </c>
      <c r="D896" s="3" t="s">
        <v>33</v>
      </c>
      <c r="E896" s="4" t="s">
        <v>10</v>
      </c>
      <c r="F896" s="4" t="s">
        <v>58</v>
      </c>
      <c r="G896" s="4">
        <v>38</v>
      </c>
      <c r="H896" s="4">
        <v>301</v>
      </c>
      <c r="I896" s="4">
        <v>11438</v>
      </c>
      <c r="J896" s="4">
        <f>Table1[[#This Row],[Total Sale]]*0.2</f>
        <v>2287.6</v>
      </c>
      <c r="K896" s="4" t="s">
        <v>17</v>
      </c>
    </row>
    <row r="897" spans="3:11" x14ac:dyDescent="0.3">
      <c r="C897" s="3">
        <v>45368</v>
      </c>
      <c r="D897" s="3" t="s">
        <v>36</v>
      </c>
      <c r="E897" s="4" t="s">
        <v>6</v>
      </c>
      <c r="F897" s="4" t="s">
        <v>68</v>
      </c>
      <c r="G897" s="4">
        <v>40</v>
      </c>
      <c r="H897" s="4">
        <v>462</v>
      </c>
      <c r="I897" s="4">
        <v>18480</v>
      </c>
      <c r="J897" s="4">
        <f>Table1[[#This Row],[Total Sale]]*0.2</f>
        <v>3696</v>
      </c>
      <c r="K897" s="4" t="s">
        <v>19</v>
      </c>
    </row>
    <row r="898" spans="3:11" x14ac:dyDescent="0.3">
      <c r="C898" s="3">
        <v>45368</v>
      </c>
      <c r="D898" s="3" t="s">
        <v>37</v>
      </c>
      <c r="E898" s="4" t="s">
        <v>18</v>
      </c>
      <c r="F898" s="4" t="s">
        <v>53</v>
      </c>
      <c r="G898" s="4">
        <v>12</v>
      </c>
      <c r="H898" s="4">
        <v>322</v>
      </c>
      <c r="I898" s="4">
        <v>3864</v>
      </c>
      <c r="J898" s="4">
        <f>Table1[[#This Row],[Total Sale]]*0.2</f>
        <v>772.80000000000007</v>
      </c>
      <c r="K898" s="4" t="s">
        <v>12</v>
      </c>
    </row>
    <row r="899" spans="3:11" x14ac:dyDescent="0.3">
      <c r="C899" s="3">
        <v>45365</v>
      </c>
      <c r="D899" s="3" t="s">
        <v>50</v>
      </c>
      <c r="E899" s="4" t="s">
        <v>11</v>
      </c>
      <c r="F899" s="4" t="s">
        <v>62</v>
      </c>
      <c r="G899" s="4">
        <v>23</v>
      </c>
      <c r="H899" s="4">
        <v>342</v>
      </c>
      <c r="I899" s="4">
        <v>7866</v>
      </c>
      <c r="J899" s="4">
        <f>Table1[[#This Row],[Total Sale]]*0.2</f>
        <v>1573.2</v>
      </c>
      <c r="K899" s="4" t="s">
        <v>15</v>
      </c>
    </row>
    <row r="900" spans="3:11" x14ac:dyDescent="0.3">
      <c r="C900" s="3">
        <v>45365</v>
      </c>
      <c r="D900" s="3" t="s">
        <v>47</v>
      </c>
      <c r="E900" s="4" t="s">
        <v>11</v>
      </c>
      <c r="F900" s="4" t="s">
        <v>70</v>
      </c>
      <c r="G900" s="4">
        <v>16</v>
      </c>
      <c r="H900" s="4">
        <v>342</v>
      </c>
      <c r="I900" s="4">
        <v>5472</v>
      </c>
      <c r="J900" s="4">
        <f>Table1[[#This Row],[Total Sale]]*0.2</f>
        <v>1094.4000000000001</v>
      </c>
      <c r="K900" s="4" t="s">
        <v>8</v>
      </c>
    </row>
    <row r="901" spans="3:11" x14ac:dyDescent="0.3">
      <c r="C901" s="3">
        <v>45365</v>
      </c>
      <c r="D901" s="3" t="s">
        <v>41</v>
      </c>
      <c r="E901" s="4" t="s">
        <v>11</v>
      </c>
      <c r="F901" s="4" t="s">
        <v>65</v>
      </c>
      <c r="G901" s="4">
        <v>19</v>
      </c>
      <c r="H901" s="4">
        <v>205</v>
      </c>
      <c r="I901" s="4">
        <v>3895</v>
      </c>
      <c r="J901" s="4">
        <f>Table1[[#This Row],[Total Sale]]*0.2</f>
        <v>779</v>
      </c>
      <c r="K901" s="4" t="s">
        <v>9</v>
      </c>
    </row>
    <row r="902" spans="3:11" x14ac:dyDescent="0.3">
      <c r="C902" s="3">
        <v>45365</v>
      </c>
      <c r="D902" s="3" t="s">
        <v>32</v>
      </c>
      <c r="E902" s="4" t="s">
        <v>13</v>
      </c>
      <c r="F902" s="4" t="s">
        <v>61</v>
      </c>
      <c r="G902" s="4">
        <v>20</v>
      </c>
      <c r="H902" s="4">
        <v>303</v>
      </c>
      <c r="I902" s="4">
        <v>6060</v>
      </c>
      <c r="J902" s="4">
        <f>Table1[[#This Row],[Total Sale]]*0.2</f>
        <v>1212</v>
      </c>
      <c r="K902" s="4" t="s">
        <v>19</v>
      </c>
    </row>
    <row r="903" spans="3:11" x14ac:dyDescent="0.3">
      <c r="C903" s="3">
        <v>45365</v>
      </c>
      <c r="D903" s="3" t="s">
        <v>49</v>
      </c>
      <c r="E903" s="4" t="s">
        <v>6</v>
      </c>
      <c r="F903" s="4" t="s">
        <v>54</v>
      </c>
      <c r="G903" s="4">
        <v>23</v>
      </c>
      <c r="H903" s="4">
        <v>337</v>
      </c>
      <c r="I903" s="4">
        <v>7751</v>
      </c>
      <c r="J903" s="4">
        <f>Table1[[#This Row],[Total Sale]]*0.2</f>
        <v>1550.2</v>
      </c>
      <c r="K903" s="4" t="s">
        <v>8</v>
      </c>
    </row>
    <row r="904" spans="3:11" x14ac:dyDescent="0.3">
      <c r="C904" s="3">
        <v>45364</v>
      </c>
      <c r="D904" s="3" t="s">
        <v>47</v>
      </c>
      <c r="E904" s="4" t="s">
        <v>25</v>
      </c>
      <c r="F904" s="4" t="s">
        <v>54</v>
      </c>
      <c r="G904" s="4">
        <v>26</v>
      </c>
      <c r="H904" s="4">
        <v>353</v>
      </c>
      <c r="I904" s="4">
        <v>9178</v>
      </c>
      <c r="J904" s="4">
        <f>Table1[[#This Row],[Total Sale]]*0.2</f>
        <v>1835.6000000000001</v>
      </c>
      <c r="K904" s="4" t="s">
        <v>23</v>
      </c>
    </row>
    <row r="905" spans="3:11" x14ac:dyDescent="0.3">
      <c r="C905" s="3">
        <v>45364</v>
      </c>
      <c r="D905" s="3" t="s">
        <v>37</v>
      </c>
      <c r="E905" s="4" t="s">
        <v>26</v>
      </c>
      <c r="F905" s="4" t="s">
        <v>65</v>
      </c>
      <c r="G905" s="4">
        <v>23</v>
      </c>
      <c r="H905" s="4">
        <v>413</v>
      </c>
      <c r="I905" s="4">
        <v>9499</v>
      </c>
      <c r="J905" s="4">
        <f>Table1[[#This Row],[Total Sale]]*0.2</f>
        <v>1899.8000000000002</v>
      </c>
      <c r="K905" s="4" t="s">
        <v>17</v>
      </c>
    </row>
    <row r="906" spans="3:11" x14ac:dyDescent="0.3">
      <c r="C906" s="3">
        <v>45364</v>
      </c>
      <c r="D906" s="3" t="s">
        <v>45</v>
      </c>
      <c r="E906" s="4" t="s">
        <v>13</v>
      </c>
      <c r="F906" s="4" t="s">
        <v>70</v>
      </c>
      <c r="G906" s="4">
        <v>29</v>
      </c>
      <c r="H906" s="4">
        <v>443</v>
      </c>
      <c r="I906" s="4">
        <v>12847</v>
      </c>
      <c r="J906" s="4">
        <f>Table1[[#This Row],[Total Sale]]*0.2</f>
        <v>2569.4</v>
      </c>
      <c r="K906" s="4" t="s">
        <v>14</v>
      </c>
    </row>
    <row r="907" spans="3:11" x14ac:dyDescent="0.3">
      <c r="C907" s="3">
        <v>45364</v>
      </c>
      <c r="D907" s="3" t="s">
        <v>48</v>
      </c>
      <c r="E907" s="4" t="s">
        <v>6</v>
      </c>
      <c r="F907" s="4" t="s">
        <v>52</v>
      </c>
      <c r="G907" s="4">
        <v>46</v>
      </c>
      <c r="H907" s="4">
        <v>335</v>
      </c>
      <c r="I907" s="4">
        <v>15410</v>
      </c>
      <c r="J907" s="4">
        <f>Table1[[#This Row],[Total Sale]]*0.2</f>
        <v>3082</v>
      </c>
      <c r="K907" s="4" t="s">
        <v>21</v>
      </c>
    </row>
    <row r="908" spans="3:11" x14ac:dyDescent="0.3">
      <c r="C908" s="3">
        <v>45362</v>
      </c>
      <c r="D908" s="3" t="s">
        <v>43</v>
      </c>
      <c r="E908" s="4" t="s">
        <v>16</v>
      </c>
      <c r="F908" s="4" t="s">
        <v>56</v>
      </c>
      <c r="G908" s="4">
        <v>22</v>
      </c>
      <c r="H908" s="4">
        <v>309</v>
      </c>
      <c r="I908" s="4">
        <v>6798</v>
      </c>
      <c r="J908" s="4">
        <f>Table1[[#This Row],[Total Sale]]*0.2</f>
        <v>1359.6000000000001</v>
      </c>
      <c r="K908" s="4" t="s">
        <v>17</v>
      </c>
    </row>
    <row r="909" spans="3:11" x14ac:dyDescent="0.3">
      <c r="C909" s="3">
        <v>45362</v>
      </c>
      <c r="D909" s="3" t="s">
        <v>35</v>
      </c>
      <c r="E909" s="4" t="s">
        <v>16</v>
      </c>
      <c r="F909" s="4" t="s">
        <v>56</v>
      </c>
      <c r="G909" s="4">
        <v>48</v>
      </c>
      <c r="H909" s="4">
        <v>259</v>
      </c>
      <c r="I909" s="4">
        <v>12432</v>
      </c>
      <c r="J909" s="4">
        <f>Table1[[#This Row],[Total Sale]]*0.2</f>
        <v>2486.4</v>
      </c>
      <c r="K909" s="4" t="s">
        <v>12</v>
      </c>
    </row>
    <row r="910" spans="3:11" x14ac:dyDescent="0.3">
      <c r="C910" s="3">
        <v>45361</v>
      </c>
      <c r="D910" s="3" t="s">
        <v>44</v>
      </c>
      <c r="E910" s="4" t="s">
        <v>27</v>
      </c>
      <c r="F910" s="4" t="s">
        <v>70</v>
      </c>
      <c r="G910" s="4">
        <v>28</v>
      </c>
      <c r="H910" s="4">
        <v>489</v>
      </c>
      <c r="I910" s="4">
        <v>13692</v>
      </c>
      <c r="J910" s="4">
        <f>Table1[[#This Row],[Total Sale]]*0.2</f>
        <v>2738.4</v>
      </c>
      <c r="K910" s="4" t="s">
        <v>20</v>
      </c>
    </row>
    <row r="911" spans="3:11" x14ac:dyDescent="0.3">
      <c r="C911" s="3">
        <v>45361</v>
      </c>
      <c r="D911" s="3" t="s">
        <v>39</v>
      </c>
      <c r="E911" s="4" t="s">
        <v>27</v>
      </c>
      <c r="F911" s="4" t="s">
        <v>57</v>
      </c>
      <c r="G911" s="4">
        <v>24</v>
      </c>
      <c r="H911" s="4">
        <v>271</v>
      </c>
      <c r="I911" s="4">
        <v>6504</v>
      </c>
      <c r="J911" s="4">
        <f>Table1[[#This Row],[Total Sale]]*0.2</f>
        <v>1300.8000000000002</v>
      </c>
      <c r="K911" s="4" t="s">
        <v>14</v>
      </c>
    </row>
    <row r="912" spans="3:11" x14ac:dyDescent="0.3">
      <c r="C912" s="3">
        <v>45358</v>
      </c>
      <c r="D912" s="3" t="s">
        <v>44</v>
      </c>
      <c r="E912" s="4" t="s">
        <v>27</v>
      </c>
      <c r="F912" s="4" t="s">
        <v>60</v>
      </c>
      <c r="G912" s="4">
        <v>23</v>
      </c>
      <c r="H912" s="4">
        <v>223</v>
      </c>
      <c r="I912" s="4">
        <v>5129</v>
      </c>
      <c r="J912" s="4">
        <f>Table1[[#This Row],[Total Sale]]*0.2</f>
        <v>1025.8</v>
      </c>
      <c r="K912" s="4" t="s">
        <v>24</v>
      </c>
    </row>
    <row r="913" spans="3:11" x14ac:dyDescent="0.3">
      <c r="C913" s="3">
        <v>45358</v>
      </c>
      <c r="D913" s="3" t="s">
        <v>37</v>
      </c>
      <c r="E913" s="4" t="s">
        <v>25</v>
      </c>
      <c r="F913" s="4" t="s">
        <v>63</v>
      </c>
      <c r="G913" s="4">
        <v>19</v>
      </c>
      <c r="H913" s="4">
        <v>330</v>
      </c>
      <c r="I913" s="4">
        <v>6270</v>
      </c>
      <c r="J913" s="4">
        <f>Table1[[#This Row],[Total Sale]]*0.2</f>
        <v>1254</v>
      </c>
      <c r="K913" s="4" t="s">
        <v>24</v>
      </c>
    </row>
    <row r="914" spans="3:11" x14ac:dyDescent="0.3">
      <c r="C914" s="3">
        <v>45358</v>
      </c>
      <c r="D914" s="3" t="s">
        <v>42</v>
      </c>
      <c r="E914" s="4" t="s">
        <v>11</v>
      </c>
      <c r="F914" s="4" t="s">
        <v>51</v>
      </c>
      <c r="G914" s="4">
        <v>19</v>
      </c>
      <c r="H914" s="4">
        <v>466</v>
      </c>
      <c r="I914" s="4">
        <v>8854</v>
      </c>
      <c r="J914" s="4">
        <f>Table1[[#This Row],[Total Sale]]*0.2</f>
        <v>1770.8000000000002</v>
      </c>
      <c r="K914" s="4" t="s">
        <v>17</v>
      </c>
    </row>
    <row r="915" spans="3:11" x14ac:dyDescent="0.3">
      <c r="C915" s="3">
        <v>45357</v>
      </c>
      <c r="D915" s="3" t="s">
        <v>37</v>
      </c>
      <c r="E915" s="4" t="s">
        <v>18</v>
      </c>
      <c r="F915" s="4" t="s">
        <v>65</v>
      </c>
      <c r="G915" s="4">
        <v>30</v>
      </c>
      <c r="H915" s="4">
        <v>225</v>
      </c>
      <c r="I915" s="4">
        <v>6750</v>
      </c>
      <c r="J915" s="4">
        <f>Table1[[#This Row],[Total Sale]]*0.2</f>
        <v>1350</v>
      </c>
      <c r="K915" s="4" t="s">
        <v>19</v>
      </c>
    </row>
    <row r="916" spans="3:11" x14ac:dyDescent="0.3">
      <c r="C916" s="3">
        <v>45357</v>
      </c>
      <c r="D916" s="3" t="s">
        <v>46</v>
      </c>
      <c r="E916" s="4" t="s">
        <v>29</v>
      </c>
      <c r="F916" s="4" t="s">
        <v>58</v>
      </c>
      <c r="G916" s="4">
        <v>12</v>
      </c>
      <c r="H916" s="4">
        <v>244</v>
      </c>
      <c r="I916" s="4">
        <v>2928</v>
      </c>
      <c r="J916" s="4">
        <f>Table1[[#This Row],[Total Sale]]*0.2</f>
        <v>585.6</v>
      </c>
      <c r="K916" s="4" t="s">
        <v>8</v>
      </c>
    </row>
    <row r="917" spans="3:11" x14ac:dyDescent="0.3">
      <c r="C917" s="3">
        <v>45355</v>
      </c>
      <c r="D917" s="3" t="s">
        <v>38</v>
      </c>
      <c r="E917" s="4" t="s">
        <v>27</v>
      </c>
      <c r="F917" s="4" t="s">
        <v>65</v>
      </c>
      <c r="G917" s="4">
        <v>24</v>
      </c>
      <c r="H917" s="4">
        <v>293</v>
      </c>
      <c r="I917" s="4">
        <v>7032</v>
      </c>
      <c r="J917" s="4">
        <f>Table1[[#This Row],[Total Sale]]*0.2</f>
        <v>1406.4</v>
      </c>
      <c r="K917" s="4" t="s">
        <v>22</v>
      </c>
    </row>
    <row r="918" spans="3:11" x14ac:dyDescent="0.3">
      <c r="C918" s="3">
        <v>45355</v>
      </c>
      <c r="D918" s="3" t="s">
        <v>43</v>
      </c>
      <c r="E918" s="4" t="s">
        <v>18</v>
      </c>
      <c r="F918" s="4" t="s">
        <v>54</v>
      </c>
      <c r="G918" s="4">
        <v>12</v>
      </c>
      <c r="H918" s="4">
        <v>497</v>
      </c>
      <c r="I918" s="4">
        <v>5964</v>
      </c>
      <c r="J918" s="4">
        <f>Table1[[#This Row],[Total Sale]]*0.2</f>
        <v>1192.8</v>
      </c>
      <c r="K918" s="4" t="s">
        <v>8</v>
      </c>
    </row>
    <row r="919" spans="3:11" x14ac:dyDescent="0.3">
      <c r="C919" s="3">
        <v>45352</v>
      </c>
      <c r="D919" s="3" t="s">
        <v>50</v>
      </c>
      <c r="E919" s="4" t="s">
        <v>10</v>
      </c>
      <c r="F919" s="4" t="s">
        <v>57</v>
      </c>
      <c r="G919" s="4">
        <v>23</v>
      </c>
      <c r="H919" s="4">
        <v>298</v>
      </c>
      <c r="I919" s="4">
        <v>6854</v>
      </c>
      <c r="J919" s="4">
        <f>Table1[[#This Row],[Total Sale]]*0.2</f>
        <v>1370.8000000000002</v>
      </c>
      <c r="K919" s="4" t="s">
        <v>12</v>
      </c>
    </row>
    <row r="920" spans="3:11" x14ac:dyDescent="0.3">
      <c r="C920" s="3">
        <v>45351</v>
      </c>
      <c r="D920" s="3" t="s">
        <v>34</v>
      </c>
      <c r="E920" s="4" t="s">
        <v>16</v>
      </c>
      <c r="F920" s="4" t="s">
        <v>67</v>
      </c>
      <c r="G920" s="4">
        <v>40</v>
      </c>
      <c r="H920" s="4">
        <v>250</v>
      </c>
      <c r="I920" s="4">
        <v>10000</v>
      </c>
      <c r="J920" s="4">
        <f>Table1[[#This Row],[Total Sale]]*0.2</f>
        <v>2000</v>
      </c>
      <c r="K920" s="4" t="s">
        <v>9</v>
      </c>
    </row>
    <row r="921" spans="3:11" x14ac:dyDescent="0.3">
      <c r="C921" s="3">
        <v>45350</v>
      </c>
      <c r="D921" s="3" t="s">
        <v>50</v>
      </c>
      <c r="E921" s="4" t="s">
        <v>10</v>
      </c>
      <c r="F921" s="4" t="s">
        <v>53</v>
      </c>
      <c r="G921" s="4">
        <v>20</v>
      </c>
      <c r="H921" s="4">
        <v>213</v>
      </c>
      <c r="I921" s="4">
        <v>4260</v>
      </c>
      <c r="J921" s="4">
        <f>Table1[[#This Row],[Total Sale]]*0.2</f>
        <v>852</v>
      </c>
      <c r="K921" s="4" t="s">
        <v>21</v>
      </c>
    </row>
    <row r="922" spans="3:11" x14ac:dyDescent="0.3">
      <c r="C922" s="3">
        <v>45350</v>
      </c>
      <c r="D922" s="3" t="s">
        <v>39</v>
      </c>
      <c r="E922" s="4" t="s">
        <v>29</v>
      </c>
      <c r="F922" s="4" t="s">
        <v>59</v>
      </c>
      <c r="G922" s="4">
        <v>28</v>
      </c>
      <c r="H922" s="4">
        <v>409</v>
      </c>
      <c r="I922" s="4">
        <v>11452</v>
      </c>
      <c r="J922" s="4">
        <f>Table1[[#This Row],[Total Sale]]*0.2</f>
        <v>2290.4</v>
      </c>
      <c r="K922" s="4" t="s">
        <v>12</v>
      </c>
    </row>
    <row r="923" spans="3:11" x14ac:dyDescent="0.3">
      <c r="C923" s="3">
        <v>45346</v>
      </c>
      <c r="D923" s="3" t="s">
        <v>35</v>
      </c>
      <c r="E923" s="4" t="s">
        <v>11</v>
      </c>
      <c r="F923" s="4" t="s">
        <v>69</v>
      </c>
      <c r="G923" s="4">
        <v>41</v>
      </c>
      <c r="H923" s="4">
        <v>420</v>
      </c>
      <c r="I923" s="4">
        <v>17220</v>
      </c>
      <c r="J923" s="4">
        <f>Table1[[#This Row],[Total Sale]]*0.2</f>
        <v>3444</v>
      </c>
      <c r="K923" s="4" t="s">
        <v>22</v>
      </c>
    </row>
    <row r="924" spans="3:11" x14ac:dyDescent="0.3">
      <c r="C924" s="3">
        <v>45346</v>
      </c>
      <c r="D924" s="3" t="s">
        <v>35</v>
      </c>
      <c r="E924" s="4" t="s">
        <v>10</v>
      </c>
      <c r="F924" s="4" t="s">
        <v>60</v>
      </c>
      <c r="G924" s="4">
        <v>22</v>
      </c>
      <c r="H924" s="4">
        <v>441</v>
      </c>
      <c r="I924" s="4">
        <v>9702</v>
      </c>
      <c r="J924" s="4">
        <f>Table1[[#This Row],[Total Sale]]*0.2</f>
        <v>1940.4</v>
      </c>
      <c r="K924" s="4" t="s">
        <v>19</v>
      </c>
    </row>
    <row r="925" spans="3:11" x14ac:dyDescent="0.3">
      <c r="C925" s="3">
        <v>45344</v>
      </c>
      <c r="D925" s="3" t="s">
        <v>44</v>
      </c>
      <c r="E925" s="4" t="s">
        <v>16</v>
      </c>
      <c r="F925" s="4" t="s">
        <v>59</v>
      </c>
      <c r="G925" s="4">
        <v>19</v>
      </c>
      <c r="H925" s="4">
        <v>297</v>
      </c>
      <c r="I925" s="4">
        <v>5643</v>
      </c>
      <c r="J925" s="4">
        <f>Table1[[#This Row],[Total Sale]]*0.2</f>
        <v>1128.6000000000001</v>
      </c>
      <c r="K925" s="4" t="s">
        <v>19</v>
      </c>
    </row>
    <row r="926" spans="3:11" x14ac:dyDescent="0.3">
      <c r="C926" s="3">
        <v>45342</v>
      </c>
      <c r="D926" s="3" t="s">
        <v>39</v>
      </c>
      <c r="E926" s="4" t="s">
        <v>10</v>
      </c>
      <c r="F926" s="4" t="s">
        <v>69</v>
      </c>
      <c r="G926" s="4">
        <v>11</v>
      </c>
      <c r="H926" s="4">
        <v>431</v>
      </c>
      <c r="I926" s="4">
        <v>4741</v>
      </c>
      <c r="J926" s="4">
        <f>Table1[[#This Row],[Total Sale]]*0.2</f>
        <v>948.2</v>
      </c>
      <c r="K926" s="4" t="s">
        <v>24</v>
      </c>
    </row>
    <row r="927" spans="3:11" x14ac:dyDescent="0.3">
      <c r="C927" s="3">
        <v>45342</v>
      </c>
      <c r="D927" s="3" t="s">
        <v>31</v>
      </c>
      <c r="E927" s="4" t="s">
        <v>16</v>
      </c>
      <c r="F927" s="4" t="s">
        <v>64</v>
      </c>
      <c r="G927" s="4">
        <v>37</v>
      </c>
      <c r="H927" s="4">
        <v>407</v>
      </c>
      <c r="I927" s="4">
        <v>15059</v>
      </c>
      <c r="J927" s="4">
        <f>Table1[[#This Row],[Total Sale]]*0.2</f>
        <v>3011.8</v>
      </c>
      <c r="K927" s="4" t="s">
        <v>22</v>
      </c>
    </row>
    <row r="928" spans="3:11" x14ac:dyDescent="0.3">
      <c r="C928" s="3">
        <v>45341</v>
      </c>
      <c r="D928" s="3" t="s">
        <v>48</v>
      </c>
      <c r="E928" s="4" t="s">
        <v>18</v>
      </c>
      <c r="F928" s="4" t="s">
        <v>56</v>
      </c>
      <c r="G928" s="4">
        <v>12</v>
      </c>
      <c r="H928" s="4">
        <v>339</v>
      </c>
      <c r="I928" s="4">
        <v>4068</v>
      </c>
      <c r="J928" s="4">
        <f>Table1[[#This Row],[Total Sale]]*0.2</f>
        <v>813.6</v>
      </c>
      <c r="K928" s="4" t="s">
        <v>23</v>
      </c>
    </row>
    <row r="929" spans="3:11" x14ac:dyDescent="0.3">
      <c r="C929" s="3">
        <v>45340</v>
      </c>
      <c r="D929" s="3" t="s">
        <v>33</v>
      </c>
      <c r="E929" s="4" t="s">
        <v>27</v>
      </c>
      <c r="F929" s="4" t="s">
        <v>51</v>
      </c>
      <c r="G929" s="4">
        <v>28</v>
      </c>
      <c r="H929" s="4">
        <v>318</v>
      </c>
      <c r="I929" s="4">
        <v>8904</v>
      </c>
      <c r="J929" s="4">
        <f>Table1[[#This Row],[Total Sale]]*0.2</f>
        <v>1780.8000000000002</v>
      </c>
      <c r="K929" s="4" t="s">
        <v>21</v>
      </c>
    </row>
    <row r="930" spans="3:11" x14ac:dyDescent="0.3">
      <c r="C930" s="3">
        <v>45340</v>
      </c>
      <c r="D930" s="3" t="s">
        <v>38</v>
      </c>
      <c r="E930" s="4" t="s">
        <v>18</v>
      </c>
      <c r="F930" s="4" t="s">
        <v>67</v>
      </c>
      <c r="G930" s="4">
        <v>26</v>
      </c>
      <c r="H930" s="4">
        <v>430</v>
      </c>
      <c r="I930" s="4">
        <v>11180</v>
      </c>
      <c r="J930" s="4">
        <f>Table1[[#This Row],[Total Sale]]*0.2</f>
        <v>2236</v>
      </c>
      <c r="K930" s="4" t="s">
        <v>8</v>
      </c>
    </row>
    <row r="931" spans="3:11" x14ac:dyDescent="0.3">
      <c r="C931" s="3">
        <v>45340</v>
      </c>
      <c r="D931" s="3" t="s">
        <v>42</v>
      </c>
      <c r="E931" s="4" t="s">
        <v>16</v>
      </c>
      <c r="F931" s="4" t="s">
        <v>64</v>
      </c>
      <c r="G931" s="4">
        <v>34</v>
      </c>
      <c r="H931" s="4">
        <v>273</v>
      </c>
      <c r="I931" s="4">
        <v>9282</v>
      </c>
      <c r="J931" s="4">
        <f>Table1[[#This Row],[Total Sale]]*0.2</f>
        <v>1856.4</v>
      </c>
      <c r="K931" s="4" t="s">
        <v>21</v>
      </c>
    </row>
    <row r="932" spans="3:11" x14ac:dyDescent="0.3">
      <c r="C932" s="3">
        <v>45339</v>
      </c>
      <c r="D932" s="3" t="s">
        <v>46</v>
      </c>
      <c r="E932" s="4" t="s">
        <v>10</v>
      </c>
      <c r="F932" s="4" t="s">
        <v>63</v>
      </c>
      <c r="G932" s="4">
        <v>13</v>
      </c>
      <c r="H932" s="4">
        <v>269</v>
      </c>
      <c r="I932" s="4">
        <v>3497</v>
      </c>
      <c r="J932" s="4">
        <f>Table1[[#This Row],[Total Sale]]*0.2</f>
        <v>699.40000000000009</v>
      </c>
      <c r="K932" s="4" t="s">
        <v>19</v>
      </c>
    </row>
    <row r="933" spans="3:11" x14ac:dyDescent="0.3">
      <c r="C933" s="3">
        <v>45339</v>
      </c>
      <c r="D933" s="3" t="s">
        <v>34</v>
      </c>
      <c r="E933" s="4" t="s">
        <v>18</v>
      </c>
      <c r="F933" s="4" t="s">
        <v>53</v>
      </c>
      <c r="G933" s="4">
        <v>31</v>
      </c>
      <c r="H933" s="4">
        <v>467</v>
      </c>
      <c r="I933" s="4">
        <v>14477</v>
      </c>
      <c r="J933" s="4">
        <f>Table1[[#This Row],[Total Sale]]*0.2</f>
        <v>2895.4</v>
      </c>
      <c r="K933" s="4" t="s">
        <v>15</v>
      </c>
    </row>
    <row r="934" spans="3:11" x14ac:dyDescent="0.3">
      <c r="C934" s="3">
        <v>45338</v>
      </c>
      <c r="D934" s="3" t="s">
        <v>42</v>
      </c>
      <c r="E934" s="4" t="s">
        <v>25</v>
      </c>
      <c r="F934" s="4" t="s">
        <v>66</v>
      </c>
      <c r="G934" s="4">
        <v>14</v>
      </c>
      <c r="H934" s="4">
        <v>453</v>
      </c>
      <c r="I934" s="4">
        <v>6342</v>
      </c>
      <c r="J934" s="4">
        <f>Table1[[#This Row],[Total Sale]]*0.2</f>
        <v>1268.4000000000001</v>
      </c>
      <c r="K934" s="4" t="s">
        <v>12</v>
      </c>
    </row>
    <row r="935" spans="3:11" x14ac:dyDescent="0.3">
      <c r="C935" s="3">
        <v>45338</v>
      </c>
      <c r="D935" s="3" t="s">
        <v>36</v>
      </c>
      <c r="E935" s="4" t="s">
        <v>18</v>
      </c>
      <c r="F935" s="4" t="s">
        <v>58</v>
      </c>
      <c r="G935" s="4">
        <v>32</v>
      </c>
      <c r="H935" s="4">
        <v>284</v>
      </c>
      <c r="I935" s="4">
        <v>9088</v>
      </c>
      <c r="J935" s="4">
        <f>Table1[[#This Row],[Total Sale]]*0.2</f>
        <v>1817.6000000000001</v>
      </c>
      <c r="K935" s="4" t="s">
        <v>9</v>
      </c>
    </row>
    <row r="936" spans="3:11" x14ac:dyDescent="0.3">
      <c r="C936" s="3">
        <v>45338</v>
      </c>
      <c r="D936" s="3" t="s">
        <v>35</v>
      </c>
      <c r="E936" s="4" t="s">
        <v>16</v>
      </c>
      <c r="F936" s="4" t="s">
        <v>65</v>
      </c>
      <c r="G936" s="4">
        <v>45</v>
      </c>
      <c r="H936" s="4">
        <v>306</v>
      </c>
      <c r="I936" s="4">
        <v>13770</v>
      </c>
      <c r="J936" s="4">
        <f>Table1[[#This Row],[Total Sale]]*0.2</f>
        <v>2754</v>
      </c>
      <c r="K936" s="4" t="s">
        <v>20</v>
      </c>
    </row>
    <row r="937" spans="3:11" x14ac:dyDescent="0.3">
      <c r="C937" s="3">
        <v>45337</v>
      </c>
      <c r="D937" s="3" t="s">
        <v>43</v>
      </c>
      <c r="E937" s="4" t="s">
        <v>10</v>
      </c>
      <c r="F937" s="4" t="s">
        <v>60</v>
      </c>
      <c r="G937" s="4">
        <v>33</v>
      </c>
      <c r="H937" s="4">
        <v>446</v>
      </c>
      <c r="I937" s="4">
        <v>14718</v>
      </c>
      <c r="J937" s="4">
        <f>Table1[[#This Row],[Total Sale]]*0.2</f>
        <v>2943.6000000000004</v>
      </c>
      <c r="K937" s="4" t="s">
        <v>19</v>
      </c>
    </row>
    <row r="938" spans="3:11" x14ac:dyDescent="0.3">
      <c r="C938" s="3">
        <v>45337</v>
      </c>
      <c r="D938" s="3" t="s">
        <v>32</v>
      </c>
      <c r="E938" s="4" t="s">
        <v>10</v>
      </c>
      <c r="F938" s="4" t="s">
        <v>68</v>
      </c>
      <c r="G938" s="4">
        <v>18</v>
      </c>
      <c r="H938" s="4">
        <v>223</v>
      </c>
      <c r="I938" s="4">
        <v>4014</v>
      </c>
      <c r="J938" s="4">
        <f>Table1[[#This Row],[Total Sale]]*0.2</f>
        <v>802.80000000000007</v>
      </c>
      <c r="K938" s="4" t="s">
        <v>8</v>
      </c>
    </row>
    <row r="939" spans="3:11" x14ac:dyDescent="0.3">
      <c r="C939" s="3">
        <v>45337</v>
      </c>
      <c r="D939" s="3" t="s">
        <v>33</v>
      </c>
      <c r="E939" s="4" t="s">
        <v>18</v>
      </c>
      <c r="F939" s="4" t="s">
        <v>51</v>
      </c>
      <c r="G939" s="4">
        <v>30</v>
      </c>
      <c r="H939" s="4">
        <v>212</v>
      </c>
      <c r="I939" s="4">
        <v>6360</v>
      </c>
      <c r="J939" s="4">
        <f>Table1[[#This Row],[Total Sale]]*0.2</f>
        <v>1272</v>
      </c>
      <c r="K939" s="4" t="s">
        <v>12</v>
      </c>
    </row>
    <row r="940" spans="3:11" x14ac:dyDescent="0.3">
      <c r="C940" s="3">
        <v>45336</v>
      </c>
      <c r="D940" s="3" t="s">
        <v>46</v>
      </c>
      <c r="E940" s="4" t="s">
        <v>16</v>
      </c>
      <c r="F940" s="4" t="s">
        <v>62</v>
      </c>
      <c r="G940" s="4">
        <v>50</v>
      </c>
      <c r="H940" s="4">
        <v>376</v>
      </c>
      <c r="I940" s="4">
        <v>18800</v>
      </c>
      <c r="J940" s="4">
        <f>Table1[[#This Row],[Total Sale]]*0.2</f>
        <v>3760</v>
      </c>
      <c r="K940" s="4" t="s">
        <v>19</v>
      </c>
    </row>
    <row r="941" spans="3:11" x14ac:dyDescent="0.3">
      <c r="C941" s="3">
        <v>45336</v>
      </c>
      <c r="D941" s="3" t="s">
        <v>35</v>
      </c>
      <c r="E941" s="4" t="s">
        <v>16</v>
      </c>
      <c r="F941" s="4" t="s">
        <v>65</v>
      </c>
      <c r="G941" s="4">
        <v>20</v>
      </c>
      <c r="H941" s="4">
        <v>273</v>
      </c>
      <c r="I941" s="4">
        <v>5460</v>
      </c>
      <c r="J941" s="4">
        <f>Table1[[#This Row],[Total Sale]]*0.2</f>
        <v>1092</v>
      </c>
      <c r="K941" s="4" t="s">
        <v>7</v>
      </c>
    </row>
    <row r="942" spans="3:11" x14ac:dyDescent="0.3">
      <c r="C942" s="3">
        <v>45335</v>
      </c>
      <c r="D942" s="3" t="s">
        <v>50</v>
      </c>
      <c r="E942" s="4" t="s">
        <v>13</v>
      </c>
      <c r="F942" s="4" t="s">
        <v>67</v>
      </c>
      <c r="G942" s="4">
        <v>33</v>
      </c>
      <c r="H942" s="4">
        <v>237</v>
      </c>
      <c r="I942" s="4">
        <v>7821</v>
      </c>
      <c r="J942" s="4">
        <f>Table1[[#This Row],[Total Sale]]*0.2</f>
        <v>1564.2</v>
      </c>
      <c r="K942" s="4" t="s">
        <v>20</v>
      </c>
    </row>
    <row r="943" spans="3:11" x14ac:dyDescent="0.3">
      <c r="C943" s="3">
        <v>45333</v>
      </c>
      <c r="D943" s="3" t="s">
        <v>50</v>
      </c>
      <c r="E943" s="4" t="s">
        <v>27</v>
      </c>
      <c r="F943" s="4" t="s">
        <v>69</v>
      </c>
      <c r="G943" s="4">
        <v>40</v>
      </c>
      <c r="H943" s="4">
        <v>224</v>
      </c>
      <c r="I943" s="4">
        <v>8960</v>
      </c>
      <c r="J943" s="4">
        <f>Table1[[#This Row],[Total Sale]]*0.2</f>
        <v>1792</v>
      </c>
      <c r="K943" s="4" t="s">
        <v>7</v>
      </c>
    </row>
    <row r="944" spans="3:11" x14ac:dyDescent="0.3">
      <c r="C944" s="3">
        <v>45333</v>
      </c>
      <c r="D944" s="3" t="s">
        <v>44</v>
      </c>
      <c r="E944" s="4" t="s">
        <v>10</v>
      </c>
      <c r="F944" s="4" t="s">
        <v>64</v>
      </c>
      <c r="G944" s="4">
        <v>11</v>
      </c>
      <c r="H944" s="4">
        <v>456</v>
      </c>
      <c r="I944" s="4">
        <v>5016</v>
      </c>
      <c r="J944" s="4">
        <f>Table1[[#This Row],[Total Sale]]*0.2</f>
        <v>1003.2</v>
      </c>
      <c r="K944" s="4" t="s">
        <v>19</v>
      </c>
    </row>
    <row r="945" spans="3:11" x14ac:dyDescent="0.3">
      <c r="C945" s="3">
        <v>45333</v>
      </c>
      <c r="D945" s="3" t="s">
        <v>41</v>
      </c>
      <c r="E945" s="4" t="s">
        <v>29</v>
      </c>
      <c r="F945" s="4" t="s">
        <v>57</v>
      </c>
      <c r="G945" s="4">
        <v>40</v>
      </c>
      <c r="H945" s="4">
        <v>473</v>
      </c>
      <c r="I945" s="4">
        <v>18920</v>
      </c>
      <c r="J945" s="4">
        <f>Table1[[#This Row],[Total Sale]]*0.2</f>
        <v>3784</v>
      </c>
      <c r="K945" s="4" t="s">
        <v>22</v>
      </c>
    </row>
    <row r="946" spans="3:11" x14ac:dyDescent="0.3">
      <c r="C946" s="3">
        <v>45333</v>
      </c>
      <c r="D946" s="3" t="s">
        <v>50</v>
      </c>
      <c r="E946" s="4" t="s">
        <v>29</v>
      </c>
      <c r="F946" s="4" t="s">
        <v>70</v>
      </c>
      <c r="G946" s="4">
        <v>44</v>
      </c>
      <c r="H946" s="4">
        <v>214</v>
      </c>
      <c r="I946" s="4">
        <v>9416</v>
      </c>
      <c r="J946" s="4">
        <f>Table1[[#This Row],[Total Sale]]*0.2</f>
        <v>1883.2</v>
      </c>
      <c r="K946" s="4" t="s">
        <v>20</v>
      </c>
    </row>
    <row r="947" spans="3:11" x14ac:dyDescent="0.3">
      <c r="C947" s="3">
        <v>45332</v>
      </c>
      <c r="D947" s="3" t="s">
        <v>36</v>
      </c>
      <c r="E947" s="4" t="s">
        <v>16</v>
      </c>
      <c r="F947" s="4" t="s">
        <v>51</v>
      </c>
      <c r="G947" s="4">
        <v>47</v>
      </c>
      <c r="H947" s="4">
        <v>493</v>
      </c>
      <c r="I947" s="4">
        <v>23171</v>
      </c>
      <c r="J947" s="4">
        <f>Table1[[#This Row],[Total Sale]]*0.2</f>
        <v>4634.2</v>
      </c>
      <c r="K947" s="4" t="s">
        <v>21</v>
      </c>
    </row>
    <row r="948" spans="3:11" x14ac:dyDescent="0.3">
      <c r="C948" s="3">
        <v>45331</v>
      </c>
      <c r="D948" s="3" t="s">
        <v>31</v>
      </c>
      <c r="E948" s="4" t="s">
        <v>18</v>
      </c>
      <c r="F948" s="4" t="s">
        <v>54</v>
      </c>
      <c r="G948" s="4">
        <v>42</v>
      </c>
      <c r="H948" s="4">
        <v>408</v>
      </c>
      <c r="I948" s="4">
        <v>17136</v>
      </c>
      <c r="J948" s="4">
        <f>Table1[[#This Row],[Total Sale]]*0.2</f>
        <v>3427.2000000000003</v>
      </c>
      <c r="K948" s="4" t="s">
        <v>12</v>
      </c>
    </row>
    <row r="949" spans="3:11" x14ac:dyDescent="0.3">
      <c r="C949" s="3">
        <v>45330</v>
      </c>
      <c r="D949" s="3" t="s">
        <v>47</v>
      </c>
      <c r="E949" s="4" t="s">
        <v>27</v>
      </c>
      <c r="F949" s="4" t="s">
        <v>52</v>
      </c>
      <c r="G949" s="4">
        <v>30</v>
      </c>
      <c r="H949" s="4">
        <v>420</v>
      </c>
      <c r="I949" s="4">
        <v>12600</v>
      </c>
      <c r="J949" s="4">
        <f>Table1[[#This Row],[Total Sale]]*0.2</f>
        <v>2520</v>
      </c>
      <c r="K949" s="4" t="s">
        <v>28</v>
      </c>
    </row>
    <row r="950" spans="3:11" x14ac:dyDescent="0.3">
      <c r="C950" s="3">
        <v>45330</v>
      </c>
      <c r="D950" s="3" t="s">
        <v>42</v>
      </c>
      <c r="E950" s="4" t="s">
        <v>10</v>
      </c>
      <c r="F950" s="4" t="s">
        <v>60</v>
      </c>
      <c r="G950" s="4">
        <v>20</v>
      </c>
      <c r="H950" s="4">
        <v>418</v>
      </c>
      <c r="I950" s="4">
        <v>8360</v>
      </c>
      <c r="J950" s="4">
        <f>Table1[[#This Row],[Total Sale]]*0.2</f>
        <v>1672</v>
      </c>
      <c r="K950" s="4" t="s">
        <v>15</v>
      </c>
    </row>
    <row r="951" spans="3:11" x14ac:dyDescent="0.3">
      <c r="C951" s="3">
        <v>45329</v>
      </c>
      <c r="D951" s="3" t="s">
        <v>36</v>
      </c>
      <c r="E951" s="4" t="s">
        <v>29</v>
      </c>
      <c r="F951" s="4" t="s">
        <v>55</v>
      </c>
      <c r="G951" s="4">
        <v>16</v>
      </c>
      <c r="H951" s="4">
        <v>402</v>
      </c>
      <c r="I951" s="4">
        <v>6432</v>
      </c>
      <c r="J951" s="4">
        <f>Table1[[#This Row],[Total Sale]]*0.2</f>
        <v>1286.4000000000001</v>
      </c>
      <c r="K951" s="4" t="s">
        <v>21</v>
      </c>
    </row>
    <row r="952" spans="3:11" x14ac:dyDescent="0.3">
      <c r="C952" s="3">
        <v>45327</v>
      </c>
      <c r="D952" s="3" t="s">
        <v>44</v>
      </c>
      <c r="E952" s="4" t="s">
        <v>18</v>
      </c>
      <c r="F952" s="4" t="s">
        <v>56</v>
      </c>
      <c r="G952" s="4">
        <v>42</v>
      </c>
      <c r="H952" s="4">
        <v>219</v>
      </c>
      <c r="I952" s="4">
        <v>9198</v>
      </c>
      <c r="J952" s="4">
        <f>Table1[[#This Row],[Total Sale]]*0.2</f>
        <v>1839.6000000000001</v>
      </c>
      <c r="K952" s="4" t="s">
        <v>21</v>
      </c>
    </row>
    <row r="953" spans="3:11" x14ac:dyDescent="0.3">
      <c r="C953" s="3">
        <v>45326</v>
      </c>
      <c r="D953" s="3" t="s">
        <v>32</v>
      </c>
      <c r="E953" s="4" t="s">
        <v>11</v>
      </c>
      <c r="F953" s="4" t="s">
        <v>54</v>
      </c>
      <c r="G953" s="4">
        <v>43</v>
      </c>
      <c r="H953" s="4">
        <v>378</v>
      </c>
      <c r="I953" s="4">
        <v>16254</v>
      </c>
      <c r="J953" s="4">
        <f>Table1[[#This Row],[Total Sale]]*0.2</f>
        <v>3250.8</v>
      </c>
      <c r="K953" s="4" t="s">
        <v>17</v>
      </c>
    </row>
    <row r="954" spans="3:11" x14ac:dyDescent="0.3">
      <c r="C954" s="3">
        <v>45326</v>
      </c>
      <c r="D954" s="3" t="s">
        <v>37</v>
      </c>
      <c r="E954" s="4" t="s">
        <v>11</v>
      </c>
      <c r="F954" s="4" t="s">
        <v>55</v>
      </c>
      <c r="G954" s="4">
        <v>44</v>
      </c>
      <c r="H954" s="4">
        <v>271</v>
      </c>
      <c r="I954" s="4">
        <v>11924</v>
      </c>
      <c r="J954" s="4">
        <f>Table1[[#This Row],[Total Sale]]*0.2</f>
        <v>2384.8000000000002</v>
      </c>
      <c r="K954" s="4" t="s">
        <v>17</v>
      </c>
    </row>
    <row r="955" spans="3:11" x14ac:dyDescent="0.3">
      <c r="C955" s="3">
        <v>45325</v>
      </c>
      <c r="D955" s="3" t="s">
        <v>34</v>
      </c>
      <c r="E955" s="4" t="s">
        <v>27</v>
      </c>
      <c r="F955" s="4" t="s">
        <v>51</v>
      </c>
      <c r="G955" s="4">
        <v>38</v>
      </c>
      <c r="H955" s="4">
        <v>469</v>
      </c>
      <c r="I955" s="4">
        <v>17822</v>
      </c>
      <c r="J955" s="4">
        <f>Table1[[#This Row],[Total Sale]]*0.2</f>
        <v>3564.4</v>
      </c>
      <c r="K955" s="4" t="s">
        <v>21</v>
      </c>
    </row>
    <row r="956" spans="3:11" x14ac:dyDescent="0.3">
      <c r="C956" s="3">
        <v>45325</v>
      </c>
      <c r="D956" s="3" t="s">
        <v>45</v>
      </c>
      <c r="E956" s="4" t="s">
        <v>16</v>
      </c>
      <c r="F956" s="4" t="s">
        <v>62</v>
      </c>
      <c r="G956" s="4">
        <v>26</v>
      </c>
      <c r="H956" s="4">
        <v>213</v>
      </c>
      <c r="I956" s="4">
        <v>5538</v>
      </c>
      <c r="J956" s="4">
        <f>Table1[[#This Row],[Total Sale]]*0.2</f>
        <v>1107.6000000000001</v>
      </c>
      <c r="K956" s="4" t="s">
        <v>23</v>
      </c>
    </row>
    <row r="957" spans="3:11" x14ac:dyDescent="0.3">
      <c r="C957" s="3">
        <v>45324</v>
      </c>
      <c r="D957" s="3" t="s">
        <v>41</v>
      </c>
      <c r="E957" s="4" t="s">
        <v>26</v>
      </c>
      <c r="F957" s="4" t="s">
        <v>58</v>
      </c>
      <c r="G957" s="4">
        <v>29</v>
      </c>
      <c r="H957" s="4">
        <v>289</v>
      </c>
      <c r="I957" s="4">
        <v>8381</v>
      </c>
      <c r="J957" s="4">
        <f>Table1[[#This Row],[Total Sale]]*0.2</f>
        <v>1676.2</v>
      </c>
      <c r="K957" s="4" t="s">
        <v>7</v>
      </c>
    </row>
    <row r="958" spans="3:11" x14ac:dyDescent="0.3">
      <c r="C958" s="3">
        <v>45324</v>
      </c>
      <c r="D958" s="3" t="s">
        <v>48</v>
      </c>
      <c r="E958" s="4" t="s">
        <v>16</v>
      </c>
      <c r="F958" s="4" t="s">
        <v>54</v>
      </c>
      <c r="G958" s="4">
        <v>16</v>
      </c>
      <c r="H958" s="4">
        <v>422</v>
      </c>
      <c r="I958" s="4">
        <v>6752</v>
      </c>
      <c r="J958" s="4">
        <f>Table1[[#This Row],[Total Sale]]*0.2</f>
        <v>1350.4</v>
      </c>
      <c r="K958" s="4" t="s">
        <v>21</v>
      </c>
    </row>
    <row r="959" spans="3:11" x14ac:dyDescent="0.3">
      <c r="C959" s="3">
        <v>45324</v>
      </c>
      <c r="D959" s="3" t="s">
        <v>47</v>
      </c>
      <c r="E959" s="4" t="s">
        <v>16</v>
      </c>
      <c r="F959" s="4" t="s">
        <v>58</v>
      </c>
      <c r="G959" s="4">
        <v>36</v>
      </c>
      <c r="H959" s="4">
        <v>278</v>
      </c>
      <c r="I959" s="4">
        <v>10008</v>
      </c>
      <c r="J959" s="4">
        <f>Table1[[#This Row],[Total Sale]]*0.2</f>
        <v>2001.6000000000001</v>
      </c>
      <c r="K959" s="4" t="s">
        <v>21</v>
      </c>
    </row>
    <row r="960" spans="3:11" x14ac:dyDescent="0.3">
      <c r="C960" s="3">
        <v>45323</v>
      </c>
      <c r="D960" s="3" t="s">
        <v>32</v>
      </c>
      <c r="E960" s="4" t="s">
        <v>11</v>
      </c>
      <c r="F960" s="4" t="s">
        <v>59</v>
      </c>
      <c r="G960" s="4">
        <v>22</v>
      </c>
      <c r="H960" s="4">
        <v>238</v>
      </c>
      <c r="I960" s="4">
        <v>5236</v>
      </c>
      <c r="J960" s="4">
        <f>Table1[[#This Row],[Total Sale]]*0.2</f>
        <v>1047.2</v>
      </c>
      <c r="K960" s="4" t="s">
        <v>19</v>
      </c>
    </row>
    <row r="961" spans="3:11" x14ac:dyDescent="0.3">
      <c r="C961" s="3">
        <v>45319</v>
      </c>
      <c r="D961" s="3" t="s">
        <v>36</v>
      </c>
      <c r="E961" s="4" t="s">
        <v>26</v>
      </c>
      <c r="F961" s="4" t="s">
        <v>53</v>
      </c>
      <c r="G961" s="4">
        <v>31</v>
      </c>
      <c r="H961" s="4">
        <v>413</v>
      </c>
      <c r="I961" s="4">
        <v>12803</v>
      </c>
      <c r="J961" s="4">
        <f>Table1[[#This Row],[Total Sale]]*0.2</f>
        <v>2560.6000000000004</v>
      </c>
      <c r="K961" s="4" t="s">
        <v>12</v>
      </c>
    </row>
    <row r="962" spans="3:11" x14ac:dyDescent="0.3">
      <c r="C962" s="3">
        <v>45318</v>
      </c>
      <c r="D962" s="3" t="s">
        <v>48</v>
      </c>
      <c r="E962" s="4" t="s">
        <v>18</v>
      </c>
      <c r="F962" s="4" t="s">
        <v>54</v>
      </c>
      <c r="G962" s="4">
        <v>48</v>
      </c>
      <c r="H962" s="4">
        <v>433</v>
      </c>
      <c r="I962" s="4">
        <v>20784</v>
      </c>
      <c r="J962" s="4">
        <f>Table1[[#This Row],[Total Sale]]*0.2</f>
        <v>4156.8</v>
      </c>
      <c r="K962" s="4" t="s">
        <v>14</v>
      </c>
    </row>
    <row r="963" spans="3:11" x14ac:dyDescent="0.3">
      <c r="C963" s="3">
        <v>45318</v>
      </c>
      <c r="D963" s="3" t="s">
        <v>41</v>
      </c>
      <c r="E963" s="4" t="s">
        <v>18</v>
      </c>
      <c r="F963" s="4" t="s">
        <v>63</v>
      </c>
      <c r="G963" s="4">
        <v>37</v>
      </c>
      <c r="H963" s="4">
        <v>226</v>
      </c>
      <c r="I963" s="4">
        <v>8362</v>
      </c>
      <c r="J963" s="4">
        <f>Table1[[#This Row],[Total Sale]]*0.2</f>
        <v>1672.4</v>
      </c>
      <c r="K963" s="4" t="s">
        <v>28</v>
      </c>
    </row>
    <row r="964" spans="3:11" x14ac:dyDescent="0.3">
      <c r="C964" s="3">
        <v>45317</v>
      </c>
      <c r="D964" s="3" t="s">
        <v>40</v>
      </c>
      <c r="E964" s="4" t="s">
        <v>26</v>
      </c>
      <c r="F964" s="4" t="s">
        <v>57</v>
      </c>
      <c r="G964" s="4">
        <v>33</v>
      </c>
      <c r="H964" s="4">
        <v>318</v>
      </c>
      <c r="I964" s="4">
        <v>10494</v>
      </c>
      <c r="J964" s="4">
        <f>Table1[[#This Row],[Total Sale]]*0.2</f>
        <v>2098.8000000000002</v>
      </c>
      <c r="K964" s="4" t="s">
        <v>9</v>
      </c>
    </row>
    <row r="965" spans="3:11" x14ac:dyDescent="0.3">
      <c r="C965" s="3">
        <v>45317</v>
      </c>
      <c r="D965" s="3" t="s">
        <v>31</v>
      </c>
      <c r="E965" s="4" t="s">
        <v>11</v>
      </c>
      <c r="F965" s="4" t="s">
        <v>70</v>
      </c>
      <c r="G965" s="4">
        <v>43</v>
      </c>
      <c r="H965" s="4">
        <v>339</v>
      </c>
      <c r="I965" s="4">
        <v>14577</v>
      </c>
      <c r="J965" s="4">
        <f>Table1[[#This Row],[Total Sale]]*0.2</f>
        <v>2915.4</v>
      </c>
      <c r="K965" s="4" t="s">
        <v>15</v>
      </c>
    </row>
    <row r="966" spans="3:11" x14ac:dyDescent="0.3">
      <c r="C966" s="3">
        <v>45316</v>
      </c>
      <c r="D966" s="3" t="s">
        <v>48</v>
      </c>
      <c r="E966" s="4" t="s">
        <v>26</v>
      </c>
      <c r="F966" s="4" t="s">
        <v>58</v>
      </c>
      <c r="G966" s="4">
        <v>45</v>
      </c>
      <c r="H966" s="4">
        <v>341</v>
      </c>
      <c r="I966" s="4">
        <v>15345</v>
      </c>
      <c r="J966" s="4">
        <f>Table1[[#This Row],[Total Sale]]*0.2</f>
        <v>3069</v>
      </c>
      <c r="K966" s="4" t="s">
        <v>28</v>
      </c>
    </row>
    <row r="967" spans="3:11" x14ac:dyDescent="0.3">
      <c r="C967" s="3">
        <v>45316</v>
      </c>
      <c r="D967" s="3" t="s">
        <v>47</v>
      </c>
      <c r="E967" s="4" t="s">
        <v>26</v>
      </c>
      <c r="F967" s="4" t="s">
        <v>66</v>
      </c>
      <c r="G967" s="4">
        <v>47</v>
      </c>
      <c r="H967" s="4">
        <v>319</v>
      </c>
      <c r="I967" s="4">
        <v>14993</v>
      </c>
      <c r="J967" s="4">
        <f>Table1[[#This Row],[Total Sale]]*0.2</f>
        <v>2998.6000000000004</v>
      </c>
      <c r="K967" s="4" t="s">
        <v>19</v>
      </c>
    </row>
    <row r="968" spans="3:11" x14ac:dyDescent="0.3">
      <c r="C968" s="3">
        <v>45314</v>
      </c>
      <c r="D968" s="3" t="s">
        <v>35</v>
      </c>
      <c r="E968" s="4" t="s">
        <v>27</v>
      </c>
      <c r="F968" s="4" t="s">
        <v>61</v>
      </c>
      <c r="G968" s="4">
        <v>36</v>
      </c>
      <c r="H968" s="4">
        <v>414</v>
      </c>
      <c r="I968" s="4">
        <v>14904</v>
      </c>
      <c r="J968" s="4">
        <f>Table1[[#This Row],[Total Sale]]*0.2</f>
        <v>2980.8</v>
      </c>
      <c r="K968" s="4" t="s">
        <v>19</v>
      </c>
    </row>
    <row r="969" spans="3:11" x14ac:dyDescent="0.3">
      <c r="C969" s="3">
        <v>45314</v>
      </c>
      <c r="D969" s="3" t="s">
        <v>46</v>
      </c>
      <c r="E969" s="4" t="s">
        <v>11</v>
      </c>
      <c r="F969" s="4" t="s">
        <v>58</v>
      </c>
      <c r="G969" s="4">
        <v>24</v>
      </c>
      <c r="H969" s="4">
        <v>357</v>
      </c>
      <c r="I969" s="4">
        <v>8568</v>
      </c>
      <c r="J969" s="4">
        <f>Table1[[#This Row],[Total Sale]]*0.2</f>
        <v>1713.6000000000001</v>
      </c>
      <c r="K969" s="4" t="s">
        <v>14</v>
      </c>
    </row>
    <row r="970" spans="3:11" x14ac:dyDescent="0.3">
      <c r="C970" s="3">
        <v>45314</v>
      </c>
      <c r="D970" s="3" t="s">
        <v>41</v>
      </c>
      <c r="E970" s="4" t="s">
        <v>11</v>
      </c>
      <c r="F970" s="4" t="s">
        <v>68</v>
      </c>
      <c r="G970" s="4">
        <v>19</v>
      </c>
      <c r="H970" s="4">
        <v>203</v>
      </c>
      <c r="I970" s="4">
        <v>3857</v>
      </c>
      <c r="J970" s="4">
        <f>Table1[[#This Row],[Total Sale]]*0.2</f>
        <v>771.40000000000009</v>
      </c>
      <c r="K970" s="4" t="s">
        <v>20</v>
      </c>
    </row>
    <row r="971" spans="3:11" x14ac:dyDescent="0.3">
      <c r="C971" s="3">
        <v>45314</v>
      </c>
      <c r="D971" s="3" t="s">
        <v>40</v>
      </c>
      <c r="E971" s="4" t="s">
        <v>13</v>
      </c>
      <c r="F971" s="4" t="s">
        <v>65</v>
      </c>
      <c r="G971" s="4">
        <v>12</v>
      </c>
      <c r="H971" s="4">
        <v>448</v>
      </c>
      <c r="I971" s="4">
        <v>5376</v>
      </c>
      <c r="J971" s="4">
        <f>Table1[[#This Row],[Total Sale]]*0.2</f>
        <v>1075.2</v>
      </c>
      <c r="K971" s="4" t="s">
        <v>23</v>
      </c>
    </row>
    <row r="972" spans="3:11" x14ac:dyDescent="0.3">
      <c r="C972" s="3">
        <v>45313</v>
      </c>
      <c r="D972" s="3" t="s">
        <v>39</v>
      </c>
      <c r="E972" s="4" t="s">
        <v>27</v>
      </c>
      <c r="F972" s="4" t="s">
        <v>58</v>
      </c>
      <c r="G972" s="4">
        <v>20</v>
      </c>
      <c r="H972" s="4">
        <v>482</v>
      </c>
      <c r="I972" s="4">
        <v>9640</v>
      </c>
      <c r="J972" s="4">
        <f>Table1[[#This Row],[Total Sale]]*0.2</f>
        <v>1928</v>
      </c>
      <c r="K972" s="4" t="s">
        <v>22</v>
      </c>
    </row>
    <row r="973" spans="3:11" x14ac:dyDescent="0.3">
      <c r="C973" s="3">
        <v>45313</v>
      </c>
      <c r="D973" s="3" t="s">
        <v>32</v>
      </c>
      <c r="E973" s="4" t="s">
        <v>26</v>
      </c>
      <c r="F973" s="4" t="s">
        <v>57</v>
      </c>
      <c r="G973" s="4">
        <v>33</v>
      </c>
      <c r="H973" s="4">
        <v>406</v>
      </c>
      <c r="I973" s="4">
        <v>13398</v>
      </c>
      <c r="J973" s="4">
        <f>Table1[[#This Row],[Total Sale]]*0.2</f>
        <v>2679.6000000000004</v>
      </c>
      <c r="K973" s="4" t="s">
        <v>28</v>
      </c>
    </row>
    <row r="974" spans="3:11" x14ac:dyDescent="0.3">
      <c r="C974" s="3">
        <v>45313</v>
      </c>
      <c r="D974" s="3" t="s">
        <v>36</v>
      </c>
      <c r="E974" s="4" t="s">
        <v>11</v>
      </c>
      <c r="F974" s="4" t="s">
        <v>67</v>
      </c>
      <c r="G974" s="4">
        <v>39</v>
      </c>
      <c r="H974" s="4">
        <v>370</v>
      </c>
      <c r="I974" s="4">
        <v>14430</v>
      </c>
      <c r="J974" s="4">
        <f>Table1[[#This Row],[Total Sale]]*0.2</f>
        <v>2886</v>
      </c>
      <c r="K974" s="4" t="s">
        <v>24</v>
      </c>
    </row>
    <row r="975" spans="3:11" x14ac:dyDescent="0.3">
      <c r="C975" s="3">
        <v>45311</v>
      </c>
      <c r="D975" s="3" t="s">
        <v>36</v>
      </c>
      <c r="E975" s="4" t="s">
        <v>27</v>
      </c>
      <c r="F975" s="4" t="s">
        <v>66</v>
      </c>
      <c r="G975" s="4">
        <v>36</v>
      </c>
      <c r="H975" s="4">
        <v>349</v>
      </c>
      <c r="I975" s="4">
        <v>12564</v>
      </c>
      <c r="J975" s="4">
        <f>Table1[[#This Row],[Total Sale]]*0.2</f>
        <v>2512.8000000000002</v>
      </c>
      <c r="K975" s="4" t="s">
        <v>9</v>
      </c>
    </row>
    <row r="976" spans="3:11" x14ac:dyDescent="0.3">
      <c r="C976" s="3">
        <v>45310</v>
      </c>
      <c r="D976" s="3" t="s">
        <v>34</v>
      </c>
      <c r="E976" s="4" t="s">
        <v>25</v>
      </c>
      <c r="F976" s="4" t="s">
        <v>55</v>
      </c>
      <c r="G976" s="4">
        <v>38</v>
      </c>
      <c r="H976" s="4">
        <v>430</v>
      </c>
      <c r="I976" s="4">
        <v>16340</v>
      </c>
      <c r="J976" s="4">
        <f>Table1[[#This Row],[Total Sale]]*0.2</f>
        <v>3268</v>
      </c>
      <c r="K976" s="4" t="s">
        <v>24</v>
      </c>
    </row>
    <row r="977" spans="3:11" x14ac:dyDescent="0.3">
      <c r="C977" s="3">
        <v>45310</v>
      </c>
      <c r="D977" s="3" t="s">
        <v>47</v>
      </c>
      <c r="E977" s="4" t="s">
        <v>25</v>
      </c>
      <c r="F977" s="4" t="s">
        <v>62</v>
      </c>
      <c r="G977" s="4">
        <v>29</v>
      </c>
      <c r="H977" s="4">
        <v>317</v>
      </c>
      <c r="I977" s="4">
        <v>9193</v>
      </c>
      <c r="J977" s="4">
        <f>Table1[[#This Row],[Total Sale]]*0.2</f>
        <v>1838.6000000000001</v>
      </c>
      <c r="K977" s="4" t="s">
        <v>23</v>
      </c>
    </row>
    <row r="978" spans="3:11" x14ac:dyDescent="0.3">
      <c r="C978" s="3">
        <v>45310</v>
      </c>
      <c r="D978" s="3" t="s">
        <v>40</v>
      </c>
      <c r="E978" s="4" t="s">
        <v>18</v>
      </c>
      <c r="F978" s="4" t="s">
        <v>55</v>
      </c>
      <c r="G978" s="4">
        <v>34</v>
      </c>
      <c r="H978" s="4">
        <v>381</v>
      </c>
      <c r="I978" s="4">
        <v>12954</v>
      </c>
      <c r="J978" s="4">
        <f>Table1[[#This Row],[Total Sale]]*0.2</f>
        <v>2590.8000000000002</v>
      </c>
      <c r="K978" s="4" t="s">
        <v>12</v>
      </c>
    </row>
    <row r="979" spans="3:11" x14ac:dyDescent="0.3">
      <c r="C979" s="3">
        <v>45309</v>
      </c>
      <c r="D979" s="3" t="s">
        <v>32</v>
      </c>
      <c r="E979" s="4" t="s">
        <v>26</v>
      </c>
      <c r="F979" s="4" t="s">
        <v>59</v>
      </c>
      <c r="G979" s="4">
        <v>26</v>
      </c>
      <c r="H979" s="4">
        <v>411</v>
      </c>
      <c r="I979" s="4">
        <v>10686</v>
      </c>
      <c r="J979" s="4">
        <f>Table1[[#This Row],[Total Sale]]*0.2</f>
        <v>2137.2000000000003</v>
      </c>
      <c r="K979" s="4" t="s">
        <v>8</v>
      </c>
    </row>
    <row r="980" spans="3:11" x14ac:dyDescent="0.3">
      <c r="C980" s="3">
        <v>45308</v>
      </c>
      <c r="D980" s="3" t="s">
        <v>40</v>
      </c>
      <c r="E980" s="4" t="s">
        <v>13</v>
      </c>
      <c r="F980" s="4" t="s">
        <v>55</v>
      </c>
      <c r="G980" s="4">
        <v>49</v>
      </c>
      <c r="H980" s="4">
        <v>415</v>
      </c>
      <c r="I980" s="4">
        <v>20335</v>
      </c>
      <c r="J980" s="4">
        <f>Table1[[#This Row],[Total Sale]]*0.2</f>
        <v>4067</v>
      </c>
      <c r="K980" s="4" t="s">
        <v>15</v>
      </c>
    </row>
    <row r="981" spans="3:11" x14ac:dyDescent="0.3">
      <c r="C981" s="3">
        <v>45308</v>
      </c>
      <c r="D981" s="3" t="s">
        <v>44</v>
      </c>
      <c r="E981" s="4" t="s">
        <v>6</v>
      </c>
      <c r="F981" s="4" t="s">
        <v>59</v>
      </c>
      <c r="G981" s="4">
        <v>46</v>
      </c>
      <c r="H981" s="4">
        <v>399</v>
      </c>
      <c r="I981" s="4">
        <v>18354</v>
      </c>
      <c r="J981" s="4">
        <f>Table1[[#This Row],[Total Sale]]*0.2</f>
        <v>3670.8</v>
      </c>
      <c r="K981" s="4" t="s">
        <v>19</v>
      </c>
    </row>
    <row r="982" spans="3:11" x14ac:dyDescent="0.3">
      <c r="C982" s="3">
        <v>45307</v>
      </c>
      <c r="D982" s="3" t="s">
        <v>47</v>
      </c>
      <c r="E982" s="4" t="s">
        <v>11</v>
      </c>
      <c r="F982" s="4" t="s">
        <v>57</v>
      </c>
      <c r="G982" s="4">
        <v>20</v>
      </c>
      <c r="H982" s="4">
        <v>237</v>
      </c>
      <c r="I982" s="4">
        <v>4740</v>
      </c>
      <c r="J982" s="4">
        <f>Table1[[#This Row],[Total Sale]]*0.2</f>
        <v>948</v>
      </c>
      <c r="K982" s="4" t="s">
        <v>8</v>
      </c>
    </row>
    <row r="983" spans="3:11" x14ac:dyDescent="0.3">
      <c r="C983" s="3">
        <v>45307</v>
      </c>
      <c r="D983" s="3" t="s">
        <v>50</v>
      </c>
      <c r="E983" s="4" t="s">
        <v>6</v>
      </c>
      <c r="F983" s="4" t="s">
        <v>60</v>
      </c>
      <c r="G983" s="4">
        <v>46</v>
      </c>
      <c r="H983" s="4">
        <v>318</v>
      </c>
      <c r="I983" s="4">
        <v>14628</v>
      </c>
      <c r="J983" s="4">
        <f>Table1[[#This Row],[Total Sale]]*0.2</f>
        <v>2925.6000000000004</v>
      </c>
      <c r="K983" s="4" t="s">
        <v>28</v>
      </c>
    </row>
    <row r="984" spans="3:11" x14ac:dyDescent="0.3">
      <c r="C984" s="3">
        <v>45307</v>
      </c>
      <c r="D984" s="3" t="s">
        <v>42</v>
      </c>
      <c r="E984" s="4" t="s">
        <v>29</v>
      </c>
      <c r="F984" s="4" t="s">
        <v>52</v>
      </c>
      <c r="G984" s="4">
        <v>30</v>
      </c>
      <c r="H984" s="4">
        <v>375</v>
      </c>
      <c r="I984" s="4">
        <v>11250</v>
      </c>
      <c r="J984" s="4">
        <f>Table1[[#This Row],[Total Sale]]*0.2</f>
        <v>2250</v>
      </c>
      <c r="K984" s="4" t="s">
        <v>8</v>
      </c>
    </row>
    <row r="985" spans="3:11" x14ac:dyDescent="0.3">
      <c r="C985" s="3">
        <v>45306</v>
      </c>
      <c r="D985" s="3" t="s">
        <v>42</v>
      </c>
      <c r="E985" s="4" t="s">
        <v>11</v>
      </c>
      <c r="F985" s="4" t="s">
        <v>57</v>
      </c>
      <c r="G985" s="4">
        <v>23</v>
      </c>
      <c r="H985" s="4">
        <v>297</v>
      </c>
      <c r="I985" s="4">
        <v>6831</v>
      </c>
      <c r="J985" s="4">
        <f>Table1[[#This Row],[Total Sale]]*0.2</f>
        <v>1366.2</v>
      </c>
      <c r="K985" s="4" t="s">
        <v>20</v>
      </c>
    </row>
    <row r="986" spans="3:11" x14ac:dyDescent="0.3">
      <c r="C986" s="3">
        <v>45304</v>
      </c>
      <c r="D986" s="3" t="s">
        <v>40</v>
      </c>
      <c r="E986" s="4" t="s">
        <v>6</v>
      </c>
      <c r="F986" s="4" t="s">
        <v>55</v>
      </c>
      <c r="G986" s="4">
        <v>22</v>
      </c>
      <c r="H986" s="4">
        <v>268</v>
      </c>
      <c r="I986" s="4">
        <v>5896</v>
      </c>
      <c r="J986" s="4">
        <f>Table1[[#This Row],[Total Sale]]*0.2</f>
        <v>1179.2</v>
      </c>
      <c r="K986" s="4" t="s">
        <v>21</v>
      </c>
    </row>
    <row r="987" spans="3:11" x14ac:dyDescent="0.3">
      <c r="C987" s="3">
        <v>45304</v>
      </c>
      <c r="D987" s="3" t="s">
        <v>38</v>
      </c>
      <c r="E987" s="4" t="s">
        <v>16</v>
      </c>
      <c r="F987" s="4" t="s">
        <v>55</v>
      </c>
      <c r="G987" s="4">
        <v>42</v>
      </c>
      <c r="H987" s="4">
        <v>208</v>
      </c>
      <c r="I987" s="4">
        <v>8736</v>
      </c>
      <c r="J987" s="4">
        <f>Table1[[#This Row],[Total Sale]]*0.2</f>
        <v>1747.2</v>
      </c>
      <c r="K987" s="4" t="s">
        <v>14</v>
      </c>
    </row>
    <row r="988" spans="3:11" x14ac:dyDescent="0.3">
      <c r="C988" s="3">
        <v>45303</v>
      </c>
      <c r="D988" s="3" t="s">
        <v>41</v>
      </c>
      <c r="E988" s="4" t="s">
        <v>10</v>
      </c>
      <c r="F988" s="4" t="s">
        <v>69</v>
      </c>
      <c r="G988" s="4">
        <v>33</v>
      </c>
      <c r="H988" s="4">
        <v>215</v>
      </c>
      <c r="I988" s="4">
        <v>7095</v>
      </c>
      <c r="J988" s="4">
        <f>Table1[[#This Row],[Total Sale]]*0.2</f>
        <v>1419</v>
      </c>
      <c r="K988" s="4" t="s">
        <v>14</v>
      </c>
    </row>
    <row r="989" spans="3:11" x14ac:dyDescent="0.3">
      <c r="C989" s="3">
        <v>45302</v>
      </c>
      <c r="D989" s="3" t="s">
        <v>33</v>
      </c>
      <c r="E989" s="4" t="s">
        <v>11</v>
      </c>
      <c r="F989" s="4" t="s">
        <v>69</v>
      </c>
      <c r="G989" s="4">
        <v>31</v>
      </c>
      <c r="H989" s="4">
        <v>420</v>
      </c>
      <c r="I989" s="4">
        <v>13020</v>
      </c>
      <c r="J989" s="4">
        <f>Table1[[#This Row],[Total Sale]]*0.2</f>
        <v>2604</v>
      </c>
      <c r="K989" s="4" t="s">
        <v>12</v>
      </c>
    </row>
    <row r="990" spans="3:11" x14ac:dyDescent="0.3">
      <c r="C990" s="3">
        <v>45302</v>
      </c>
      <c r="D990" s="3" t="s">
        <v>44</v>
      </c>
      <c r="E990" s="4" t="s">
        <v>29</v>
      </c>
      <c r="F990" s="4" t="s">
        <v>61</v>
      </c>
      <c r="G990" s="4">
        <v>31</v>
      </c>
      <c r="H990" s="4">
        <v>415</v>
      </c>
      <c r="I990" s="4">
        <v>12865</v>
      </c>
      <c r="J990" s="4">
        <f>Table1[[#This Row],[Total Sale]]*0.2</f>
        <v>2573</v>
      </c>
      <c r="K990" s="4" t="s">
        <v>21</v>
      </c>
    </row>
    <row r="991" spans="3:11" x14ac:dyDescent="0.3">
      <c r="C991" s="3">
        <v>45301</v>
      </c>
      <c r="D991" s="3" t="s">
        <v>49</v>
      </c>
      <c r="E991" s="4" t="s">
        <v>27</v>
      </c>
      <c r="F991" s="4" t="s">
        <v>59</v>
      </c>
      <c r="G991" s="4">
        <v>45</v>
      </c>
      <c r="H991" s="4">
        <v>308</v>
      </c>
      <c r="I991" s="4">
        <v>13860</v>
      </c>
      <c r="J991" s="4">
        <f>Table1[[#This Row],[Total Sale]]*0.2</f>
        <v>2772</v>
      </c>
      <c r="K991" s="4" t="s">
        <v>23</v>
      </c>
    </row>
    <row r="992" spans="3:11" x14ac:dyDescent="0.3">
      <c r="C992" s="3">
        <v>45301</v>
      </c>
      <c r="D992" s="3" t="s">
        <v>33</v>
      </c>
      <c r="E992" s="4" t="s">
        <v>29</v>
      </c>
      <c r="F992" s="4" t="s">
        <v>63</v>
      </c>
      <c r="G992" s="4">
        <v>27</v>
      </c>
      <c r="H992" s="4">
        <v>351</v>
      </c>
      <c r="I992" s="4">
        <v>9477</v>
      </c>
      <c r="J992" s="4">
        <f>Table1[[#This Row],[Total Sale]]*0.2</f>
        <v>1895.4</v>
      </c>
      <c r="K992" s="4" t="s">
        <v>12</v>
      </c>
    </row>
    <row r="993" spans="3:11" x14ac:dyDescent="0.3">
      <c r="C993" s="3">
        <v>45300</v>
      </c>
      <c r="D993" s="3" t="s">
        <v>44</v>
      </c>
      <c r="E993" s="4" t="s">
        <v>16</v>
      </c>
      <c r="F993" s="4" t="s">
        <v>67</v>
      </c>
      <c r="G993" s="4">
        <v>20</v>
      </c>
      <c r="H993" s="4">
        <v>270</v>
      </c>
      <c r="I993" s="4">
        <v>5400</v>
      </c>
      <c r="J993" s="4">
        <f>Table1[[#This Row],[Total Sale]]*0.2</f>
        <v>1080</v>
      </c>
      <c r="K993" s="4" t="s">
        <v>7</v>
      </c>
    </row>
    <row r="994" spans="3:11" x14ac:dyDescent="0.3">
      <c r="C994" s="3">
        <v>45299</v>
      </c>
      <c r="D994" s="3" t="s">
        <v>39</v>
      </c>
      <c r="E994" s="4" t="s">
        <v>25</v>
      </c>
      <c r="F994" s="4" t="s">
        <v>66</v>
      </c>
      <c r="G994" s="4">
        <v>21</v>
      </c>
      <c r="H994" s="4">
        <v>408</v>
      </c>
      <c r="I994" s="4">
        <v>8568</v>
      </c>
      <c r="J994" s="4">
        <f>Table1[[#This Row],[Total Sale]]*0.2</f>
        <v>1713.6000000000001</v>
      </c>
      <c r="K994" s="4" t="s">
        <v>17</v>
      </c>
    </row>
    <row r="995" spans="3:11" x14ac:dyDescent="0.3">
      <c r="C995" s="3">
        <v>45298</v>
      </c>
      <c r="D995" s="3" t="s">
        <v>34</v>
      </c>
      <c r="E995" s="4" t="s">
        <v>27</v>
      </c>
      <c r="F995" s="4" t="s">
        <v>51</v>
      </c>
      <c r="G995" s="4">
        <v>12</v>
      </c>
      <c r="H995" s="4">
        <v>409</v>
      </c>
      <c r="I995" s="4">
        <v>4908</v>
      </c>
      <c r="J995" s="4">
        <f>Table1[[#This Row],[Total Sale]]*0.2</f>
        <v>981.6</v>
      </c>
      <c r="K995" s="4" t="s">
        <v>22</v>
      </c>
    </row>
    <row r="996" spans="3:11" x14ac:dyDescent="0.3">
      <c r="C996" s="3">
        <v>45298</v>
      </c>
      <c r="D996" s="3" t="s">
        <v>45</v>
      </c>
      <c r="E996" s="4" t="s">
        <v>11</v>
      </c>
      <c r="F996" s="4" t="s">
        <v>65</v>
      </c>
      <c r="G996" s="4">
        <v>31</v>
      </c>
      <c r="H996" s="4">
        <v>304</v>
      </c>
      <c r="I996" s="4">
        <v>9424</v>
      </c>
      <c r="J996" s="4">
        <f>Table1[[#This Row],[Total Sale]]*0.2</f>
        <v>1884.8000000000002</v>
      </c>
      <c r="K996" s="4" t="s">
        <v>24</v>
      </c>
    </row>
    <row r="997" spans="3:11" x14ac:dyDescent="0.3">
      <c r="C997" s="3">
        <v>45298</v>
      </c>
      <c r="D997" s="3" t="s">
        <v>35</v>
      </c>
      <c r="E997" s="4" t="s">
        <v>18</v>
      </c>
      <c r="F997" s="4" t="s">
        <v>67</v>
      </c>
      <c r="G997" s="4">
        <v>42</v>
      </c>
      <c r="H997" s="4">
        <v>345</v>
      </c>
      <c r="I997" s="4">
        <v>14490</v>
      </c>
      <c r="J997" s="4">
        <f>Table1[[#This Row],[Total Sale]]*0.2</f>
        <v>2898</v>
      </c>
      <c r="K997" s="4" t="s">
        <v>28</v>
      </c>
    </row>
    <row r="998" spans="3:11" x14ac:dyDescent="0.3">
      <c r="C998" s="3">
        <v>45296</v>
      </c>
      <c r="D998" s="3" t="s">
        <v>40</v>
      </c>
      <c r="E998" s="4" t="s">
        <v>25</v>
      </c>
      <c r="F998" s="4" t="s">
        <v>68</v>
      </c>
      <c r="G998" s="4">
        <v>37</v>
      </c>
      <c r="H998" s="4">
        <v>306</v>
      </c>
      <c r="I998" s="4">
        <v>11322</v>
      </c>
      <c r="J998" s="4">
        <f>Table1[[#This Row],[Total Sale]]*0.2</f>
        <v>2264.4</v>
      </c>
      <c r="K998" s="4" t="s">
        <v>23</v>
      </c>
    </row>
    <row r="999" spans="3:11" x14ac:dyDescent="0.3">
      <c r="C999" s="3">
        <v>45296</v>
      </c>
      <c r="D999" s="3" t="s">
        <v>39</v>
      </c>
      <c r="E999" s="4" t="s">
        <v>13</v>
      </c>
      <c r="F999" s="4" t="s">
        <v>69</v>
      </c>
      <c r="G999" s="4">
        <v>46</v>
      </c>
      <c r="H999" s="4">
        <v>496</v>
      </c>
      <c r="I999" s="4">
        <v>22816</v>
      </c>
      <c r="J999" s="4">
        <f>Table1[[#This Row],[Total Sale]]*0.2</f>
        <v>4563.2</v>
      </c>
      <c r="K999" s="4" t="s">
        <v>7</v>
      </c>
    </row>
    <row r="1000" spans="3:11" x14ac:dyDescent="0.3">
      <c r="C1000" s="3">
        <v>45294</v>
      </c>
      <c r="D1000" s="3" t="s">
        <v>48</v>
      </c>
      <c r="E1000" s="4" t="s">
        <v>10</v>
      </c>
      <c r="F1000" s="4" t="s">
        <v>62</v>
      </c>
      <c r="G1000" s="4">
        <v>23</v>
      </c>
      <c r="H1000" s="4">
        <v>386</v>
      </c>
      <c r="I1000" s="4">
        <v>8878</v>
      </c>
      <c r="J1000" s="4">
        <f>Table1[[#This Row],[Total Sale]]*0.2</f>
        <v>1775.6000000000001</v>
      </c>
      <c r="K1000" s="4" t="s">
        <v>24</v>
      </c>
    </row>
    <row r="1001" spans="3:11" x14ac:dyDescent="0.3">
      <c r="C1001" s="3">
        <v>45294</v>
      </c>
      <c r="D1001" s="3" t="s">
        <v>39</v>
      </c>
      <c r="E1001" s="4" t="s">
        <v>29</v>
      </c>
      <c r="F1001" s="4" t="s">
        <v>70</v>
      </c>
      <c r="G1001" s="4">
        <v>30</v>
      </c>
      <c r="H1001" s="4">
        <v>209</v>
      </c>
      <c r="I1001" s="4">
        <v>6270</v>
      </c>
      <c r="J1001" s="4">
        <f>Table1[[#This Row],[Total Sale]]*0.2</f>
        <v>1254</v>
      </c>
      <c r="K1001" s="4" t="s">
        <v>12</v>
      </c>
    </row>
  </sheetData>
  <sortState xmlns:xlrd2="http://schemas.microsoft.com/office/spreadsheetml/2017/richdata2" ref="C2:K1001">
    <sortCondition descending="1" ref="C2:C1001"/>
    <sortCondition ref="E2:E1001"/>
    <sortCondition descending="1" ref="H2:H1001"/>
  </sortState>
  <mergeCells count="1">
    <mergeCell ref="A1:A1048576"/>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Dashboard</vt:lpstr>
      <vt:lpstr>Calculative Fields</vt:lpstr>
      <vt:lpstr>sales_dataset</vt:lpstr>
      <vt:lpstr>Avg_Sp</vt:lpstr>
      <vt:lpstr>Profit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rajora</dc:creator>
  <cp:lastModifiedBy>Varun Rajora</cp:lastModifiedBy>
  <dcterms:created xsi:type="dcterms:W3CDTF">2025-12-17T15:31:30Z</dcterms:created>
  <dcterms:modified xsi:type="dcterms:W3CDTF">2026-01-06T15:15:26Z</dcterms:modified>
</cp:coreProperties>
</file>